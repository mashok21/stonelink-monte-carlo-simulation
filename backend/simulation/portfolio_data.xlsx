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ation" sheetId="1" state="visible" r:id="rId3"/>
    <sheet name="Asset Parameters" sheetId="2" state="visible" r:id="rId4"/>
    <sheet name="Correlation Matrix" sheetId="3" state="visible" r:id="rId5"/>
    <sheet name="Simulation Settings" sheetId="4" state="visible" r:id="rId6"/>
    <sheet name="Portfolio Weights" sheetId="5" state="visible" r:id="rId7"/>
    <sheet name="Correction Lo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<sst xmlns="http://schemas.openxmlformats.org/spreadsheetml/2006/main" count="551" uniqueCount="373">
  <si>
    <t xml:space="preserve">MC Input Parameters  —  Model Documentation</t>
  </si>
  <si>
    <t xml:space="preserve">Pilot Monte Carlo Simulation  |  Indian Multi-Asset Portfolio  |  Pre-Investor-Tax Gross Return Framework</t>
  </si>
  <si>
    <t xml:space="preserve">1.  Purpose &amp; Scope</t>
  </si>
  <si>
    <t xml:space="preserve">Objective</t>
  </si>
  <si>
    <t xml:space="preserve">Generate a Monte Carlo simulation of a multi-asset Indian portfolio spanning public equity, fixed income, private equity, private credit, real assets, and commodities. The simulation produces gross return distributions across 5,000 paths over a 10-year horizon, before application of any investor-level tax.</t>
  </si>
  <si>
    <t xml:space="preserve">Tax Scope</t>
  </si>
  <si>
    <t xml:space="preserve">Vehicle-level taxation only. SEBI Mutual Funds and Category II AIFs are statutory pass-through entities under the Indian Income Tax Act (s.115UB, s.10(23FBA)). Category III AIFs are taxed at fund level at the Maximum Marginal Rate (~42.7%) but are set to 0% for this pilot run — this MUST be revised before any live deployment.</t>
  </si>
  <si>
    <t xml:space="preserve">Pilot Caveat</t>
  </si>
  <si>
    <t xml:space="preserve">All input data in this file is simulated/assumed for pilot purposes. No values should be used for actual investment decisions without replacement by live, calibrated data.</t>
  </si>
  <si>
    <t xml:space="preserve">2.  Workbook Structure</t>
  </si>
  <si>
    <t xml:space="preserve">Documentation</t>
  </si>
  <si>
    <t xml:space="preserve">This sheet. Model overview, assumptions, correction log summary, and usage instructions.</t>
  </si>
  <si>
    <t xml:space="preserve">Asset Parameters</t>
  </si>
  <si>
    <t xml:space="preserve">Core input table. One row per asset. Contains all simulation parameters: expected return, volatility, skewness, kurtosis, income yield, fees, tax drag, liquidity, lock-in, capital call/distribution periods, payoff horizon, distribution type, and return bounds.</t>
  </si>
  <si>
    <t xml:space="preserve">Correlation Matrix</t>
  </si>
  <si>
    <t xml:space="preserve">Full 18x18 simulated correlation matrix across all asset classes. Heat-map colour-coded. Values are assumed based on asset category relationships — replace with realised or factor-model correlations before live run.</t>
  </si>
  <si>
    <t xml:space="preserve">Simulation Settings</t>
  </si>
  <si>
    <t xml:space="preserve">Global controls: AUM, number of paths, time horizon, time steps, rebalancing rules, inflation assumption, private asset modelling methodology, and output format.</t>
  </si>
  <si>
    <t xml:space="preserve">Portfolio Weights</t>
  </si>
  <si>
    <t xml:space="preserve">Four portfolio allocations (Min Risk, Balanced, Growth, High Return) with weights summing to exactly 100%. Source: original working sheet, corrected for allocation gaps.</t>
  </si>
  <si>
    <t xml:space="preserve">Correction Log</t>
  </si>
  <si>
    <t xml:space="preserve">Full audit trail of all changes from v1 to v4. 23 entries with severity ratings (Critical / High / Medium / Low / Tax / Advisory) and legal/mathematical rationale.</t>
  </si>
  <si>
    <t xml:space="preserve">3.  Input Parameter Definitions</t>
  </si>
  <si>
    <t xml:space="preserve">Expected Return (pa)</t>
  </si>
  <si>
    <t xml:space="preserve">Annualised geometric mean return, net of management fees. Expressed as decimal. Basis: historical analogue + forward-looking alpha assumptions per asset class.</t>
  </si>
  <si>
    <t xml:space="preserve">Volatility (Std Dev pa)</t>
  </si>
  <si>
    <t xml:space="preserve">Annualised standard deviation of returns. For private assets, reported NAV volatility is multiplied by the unsmoothing factor (1.40x) in the engine to correct for stale pricing bias.</t>
  </si>
  <si>
    <t xml:space="preserve">Skewness</t>
  </si>
  <si>
    <t xml:space="preserve">Third standardised moment of the return distribution. Negative = left tail (downside risk dominant). Used to parameterise asymmetric distributions.</t>
  </si>
  <si>
    <t xml:space="preserve">Excess Kurtosis</t>
  </si>
  <si>
    <t xml:space="preserve">Fourth standardised moment minus 3. Positive = fat tails relative to normal. Critical for private equity and distressed credit where tail events dominate.</t>
  </si>
  <si>
    <t xml:space="preserve">Dividend / Income Yield</t>
  </si>
  <si>
    <t xml:space="preserve">Annual income component (coupon, dividend, NDCF). Modelled separately from capital appreciation and reinvested unless otherwise specified.</t>
  </si>
  <si>
    <t xml:space="preserve">Mgmt Fee (pa)</t>
  </si>
  <si>
    <t xml:space="preserve">Annual management fee charged by the fund/manager. Already deducted from expected return — do not double-count.</t>
  </si>
  <si>
    <t xml:space="preserve">Carry / Perf Fee</t>
  </si>
  <si>
    <t xml:space="preserve">Performance fee / carried interest. Currently pre-embedded in expected return as a static drag. Advisory: compute dynamically in engine on paths breaching the hurdle rate for more accurate distribution.</t>
  </si>
  <si>
    <t xml:space="preserve">Tax Drag (post-tax adj)</t>
  </si>
  <si>
    <t xml:space="preserve">Vehicle-level tax adjustment. Set to 0% for all assets in this pilot — see Section 4 for full tax treatment rationale. Cat III AIF exception flagged.</t>
  </si>
  <si>
    <t xml:space="preserve">Liquidity Profile</t>
  </si>
  <si>
    <t xml:space="preserve">Redemption terms: Anytime / T+1 / T+3 / Quarterly / Semi-liquid / Illiquid. Controls rebalancing eligibility in the simulation engine.</t>
  </si>
  <si>
    <t xml:space="preserve">Lock-in (years)</t>
  </si>
  <si>
    <t xml:space="preserve">Minimum holding period before any redemption is permitted. Private assets with lock-ins are excluded from the annual rebalancing trigger.</t>
  </si>
  <si>
    <t xml:space="preserve">Capital Call Period (yrs)</t>
  </si>
  <si>
    <t xml:space="preserve">For private assets: years over which committed capital is drawn down. Modelled via S-Curve IRR / J-curve methodology.</t>
  </si>
  <si>
    <t xml:space="preserve">Distribution Period (yrs)</t>
  </si>
  <si>
    <t xml:space="preserve">For private assets: years over which realised returns are distributed back to investors after the investment period.</t>
  </si>
  <si>
    <t xml:space="preserve">Payoff Horizon (yrs)</t>
  </si>
  <si>
    <t xml:space="preserve">Expected full-cycle duration. Matches simulation time horizon for long-dated assets.</t>
  </si>
  <si>
    <t xml:space="preserve">Return Distribution</t>
  </si>
  <si>
    <t xml:space="preserve">Statistical distribution used for path generation: Normal (symmetric, fixed income), Lognormal (equity, commodities), Skew-Normal (private assets with asymmetric outcomes).</t>
  </si>
  <si>
    <t xml:space="preserve">Min Return (floor)</t>
  </si>
  <si>
    <t xml:space="preserve">Hard lower bound on simulated annual returns. Set to allow at least ±2.5σ for public assets and ±3σ+ for private/distressed. Critical: a floor above the mean is logically invalid (see Performing Credit Funds correction).</t>
  </si>
  <si>
    <t xml:space="preserve">Max Return (cap)</t>
  </si>
  <si>
    <t xml:space="preserve">Hard upper bound on simulated annual returns. Set wide enough to not truncate legitimate upside — particularly important for VC and PE.</t>
  </si>
  <si>
    <t xml:space="preserve">4.  Tax Treatment — Indian Vehicle-Level Framework</t>
  </si>
  <si>
    <t xml:space="preserve">SEBI Mutual Funds
(ETFs + Active MFs)</t>
  </si>
  <si>
    <t xml:space="preserve">0% vehicle-level tax. Statutory pass-through under the Income Tax Act. The fund itself pays no tax on capital gains or income. Tax liability arises entirely in the hands of the unitholder at the point of redemption or dividend receipt.</t>
  </si>
  <si>
    <t xml:space="preserve">Category II AIFs
(VC, Buyout, RE, Credit,
Infra, Special Sit)</t>
  </si>
  <si>
    <t xml:space="preserve">0% vehicle-level tax. Pass-through status granted under s.115UB and s.10(23FBA) of the Income Tax Act. Income and gains are taxed directly in the hands of the limited partners / investors as if they had earned the income directly.</t>
  </si>
  <si>
    <t xml:space="preserve">InvITs</t>
  </si>
  <si>
    <t xml:space="preserve">0% vehicle-level tax. The trust structure is tax-transparent for Net Distributable Cash Flows (NDCFs) distributed as interest and dividends from underlying SPVs — provided the SPV has not opted for a concessional tax regime under s.115BAA/115BAB.</t>
  </si>
  <si>
    <t xml:space="preserve">Government Bonds
&amp; NCDs (direct)</t>
  </si>
  <si>
    <t xml:space="preserve">0% permanent vehicle-level drag. TDS at 10% applies on interest income but is an adjustable withholding mechanism, not a final tax. The full tax liability remains with the bondholder and is resolved at the investor level. Out of scope for this model.</t>
  </si>
  <si>
    <t xml:space="preserve">Category III AIFs
⚠️ EXCEPTION</t>
  </si>
  <si>
    <t xml:space="preserve">0% for PILOT ONLY. Cat III AIFs are NOT pass-through entities. They are taxed at the fund level at the Maximum Marginal Rate (~42.7%) on business income and short-term capital gains, and at 12.5% on long-term capital gains. This is a material drag on NAV returns. This MUST be modelled explicitly in any live deployment. For the pilot, 0% is used to maintain a uniform gross-return baseline across all assets.</t>
  </si>
  <si>
    <t xml:space="preserve">5.  Key Corrections (v1 → v4 Summary)</t>
  </si>
  <si>
    <t xml:space="preserve">Performing Credit Funds
[CRITICAL]</t>
  </si>
  <si>
    <t xml:space="preserve">Return floor (11%) was set ABOVE the mean return (12.5%). Every simulation path was bounded from below by a value exceeding the mean — mathematically invalid. Corrected to -5% floor.</t>
  </si>
  <si>
    <t xml:space="preserve">Cat II VC  [CRITICAL]</t>
  </si>
  <si>
    <t xml:space="preserve">35% volatility was squeezed into a 9% band (12-21%), truncating tails at 0.26σ. Corrected to -50% / +75% to allow realistic venture capital outcome dispersion.</t>
  </si>
  <si>
    <t xml:space="preserve">Buyout Funds  [CRITICAL]</t>
  </si>
  <si>
    <t xml:space="preserve">25% volatility in a 4% band. Leverage-related downside and multiple-expansion upside were unmodelable. Corrected to -30% / +55%.</t>
  </si>
  <si>
    <t xml:space="preserve">Special Situation Funds  [CRITICAL]</t>
  </si>
  <si>
    <t xml:space="preserve">Distressed/binary-outcome assets with 22% volatility capped in a 4% band. Corrected to -40% / +65%.</t>
  </si>
  <si>
    <t xml:space="preserve">Active MF - Equity  [ER]</t>
  </si>
  <si>
    <t xml:space="preserve">Expected return corrected from 14.0% to 14.5% (12.5% India ETF base + 2.0% alpha = 14.5%).</t>
  </si>
  <si>
    <t xml:space="preserve">Real Estate Funds  [ER]</t>
  </si>
  <si>
    <t xml:space="preserve">Expected return corrected from 14.5% to 14.0% (5% yield + 9% appreciation = 14.0%).</t>
  </si>
  <si>
    <t xml:space="preserve">Precious Metals ETF  [ER + Cap]</t>
  </si>
  <si>
    <t xml:space="preserve">Expected return corrected from 10.0% to 7.0% (5.5% CPI + 1.5% real). Return caps widened.</t>
  </si>
  <si>
    <t xml:space="preserve">All Assets  [TAX]</t>
  </si>
  <si>
    <t xml:space="preserve">Tax drag corrected to 0% for all assets — vehicle-level Indian tax treatment applied. See Section 4 for full rationale.</t>
  </si>
  <si>
    <t xml:space="preserve">Portfolio Weights  [P3, P4]</t>
  </si>
  <si>
    <t xml:space="preserve">Portfolio 3 summed to 97.5% and Portfolio 4 to 97.0%. Gaps of 2.5% and 3.0% respectively allocated to India Equity ETF (most liquid asset) to achieve exactly 100%.</t>
  </si>
  <si>
    <t xml:space="preserve">6.  Simulation Design Notes</t>
  </si>
  <si>
    <t xml:space="preserve">Return Framework</t>
  </si>
  <si>
    <t xml:space="preserve">Geometric (compounded) returns. Arithmetic returns overstate long-run terminal wealth. Income yield modelled separately and reinvested by default.</t>
  </si>
  <si>
    <t xml:space="preserve">Private Asset Modelling</t>
  </si>
  <si>
    <t xml:space="preserve">Public assets: standard GBM with correlated Cholesky-decomposed random draws. Private assets: separate cash-flow waterfall (S-Curve J-curve) feeding into portfolio-level aggregation. Capital calls drawn over years 1-3; distributions over years 5-10 (asset-specific).</t>
  </si>
  <si>
    <t xml:space="preserve">NAV Unsmoothing</t>
  </si>
  <si>
    <t xml:space="preserve">Private asset reported volatility is multiplied by 1.40x in the engine to correct for stale NAV pricing bias inherent in quarterly-marked portfolios.</t>
  </si>
  <si>
    <t xml:space="preserve">Rebalancing</t>
  </si>
  <si>
    <t xml:space="preserve">Public liquid assets rebalanced annually with ±5% drift bands. Semi-liquid assets (Cat III AIFs, performing credit) excluded from automated trigger. Illiquid assets never rebalanced.</t>
  </si>
  <si>
    <t xml:space="preserve">Correlation Structure</t>
  </si>
  <si>
    <t xml:space="preserve">Simulated correlation matrix based on asset category relationships. Cholesky decomposition used to generate correlated return paths. Matrix must be positive semi-definite — validated before use. Replace with realised/factor-model correlations for live run.</t>
  </si>
  <si>
    <t xml:space="preserve">Output Metrics</t>
  </si>
  <si>
    <t xml:space="preserve">Percentile fan chart (5th, 25th, 50th, 75th, 95th). Time-Weighted Rate of Return (TWRR). 5% VaR (95% confidence). Expected Shortfall / CVaR. Maximum Drawdown tracking. Real returns reported after 5.5% inflation deflation.</t>
  </si>
  <si>
    <t xml:space="preserve">Random Seed</t>
  </si>
  <si>
    <t xml:space="preserve">Seed = 42 (fixed for pilot reproducibility). Remove or randomise for production runs.</t>
  </si>
  <si>
    <t xml:space="preserve">7.  Usage Instructions</t>
  </si>
  <si>
    <t xml:space="preserve">Step 1 — Select Portfolio</t>
  </si>
  <si>
    <t xml:space="preserve">In Simulation Settings sheet, set "Portfolio (select 1-4)" to your desired allocation. Portfolio 1 = Min Risk, 2 = Balanced, 3 = Growth, 4 = High Return.</t>
  </si>
  <si>
    <t xml:space="preserve">Step 2 — Review Parameters</t>
  </si>
  <si>
    <t xml:space="preserve">Review Asset Parameters sheet. Amber cells = corrected from v1. Green cells = validated unchanged. Blue text = hardcoded inputs (editable). Yellow background = key assumption requiring review.</t>
  </si>
  <si>
    <t xml:space="preserve">Step 3 — Update Correlations</t>
  </si>
  <si>
    <t xml:space="preserve">Replace the simulated correlation matrix with realised or factor-model correlations before any live run. Validate positive semi-definiteness.</t>
  </si>
  <si>
    <t xml:space="preserve">Step 4 — Cat III Tax</t>
  </si>
  <si>
    <t xml:space="preserve">Before live run, replace the 0% tax drag for Cat III AIFs with the correct fund-level MMR (~42.7% on STCG/business income; 12.5% on LTCG).</t>
  </si>
  <si>
    <t xml:space="preserve">Step 5 — Run Simulation</t>
  </si>
  <si>
    <t xml:space="preserve">Feed this workbook into the Python simulation engine. The engine reads Asset Parameters, Correlation Matrix, Simulation Settings, and Portfolio Weights sheets.</t>
  </si>
  <si>
    <t xml:space="preserve">Step 6 — Post-Tax Wrapper</t>
  </si>
  <si>
    <t xml:space="preserve">Apply investor-level tax (slab rate, LTCG, STCG) to the gross return distribution output from the simulation to arrive at net-of-tax returns for specific investor profiles.</t>
  </si>
  <si>
    <t xml:space="preserve">PILOT USE ONLY  —  All inputs are simulated/assumed  —  Not for investment decision-making  —  Version 4  —  Data as of May 2026</t>
  </si>
  <si>
    <t xml:space="preserve">Monte Carlo Simulation — Asset Input Parameters</t>
  </si>
  <si>
    <t xml:space="preserve">Legend:  Blue = hardcoded input  |  Green bg = simulated/assumed (pilot)  |  Yellow bg = key assumption — review before live run</t>
  </si>
  <si>
    <t xml:space="preserve">Asset</t>
  </si>
  <si>
    <t xml:space="preserve">Category</t>
  </si>
  <si>
    <t xml:space="preserve">Expected
Return (pa)</t>
  </si>
  <si>
    <t xml:space="preserve">Volatility
(Std Dev pa)</t>
  </si>
  <si>
    <t xml:space="preserve">Excess
Kurtosis</t>
  </si>
  <si>
    <t xml:space="preserve">Dividend /
Income Yield</t>
  </si>
  <si>
    <t xml:space="preserve">Mgmt Fee
(pa)</t>
  </si>
  <si>
    <t xml:space="preserve">Carry /
Perf Fee</t>
  </si>
  <si>
    <t xml:space="preserve">Tax Drag
(post-tax adj)</t>
  </si>
  <si>
    <t xml:space="preserve">Liquidity
Profile</t>
  </si>
  <si>
    <t xml:space="preserve">Lock-in
(years)</t>
  </si>
  <si>
    <t xml:space="preserve">Capital Call
Period (yrs)</t>
  </si>
  <si>
    <t xml:space="preserve">Distribution
Period (yrs)</t>
  </si>
  <si>
    <t xml:space="preserve">Payoff
Horizon (yrs)</t>
  </si>
  <si>
    <t xml:space="preserve">Return
Distribution</t>
  </si>
  <si>
    <t xml:space="preserve">Min Return
(floor)</t>
  </si>
  <si>
    <t xml:space="preserve">Max Return
(cap)</t>
  </si>
  <si>
    <t xml:space="preserve">Notes / Assumptions</t>
  </si>
  <si>
    <t xml:space="preserve">India Equity ETF</t>
  </si>
  <si>
    <t xml:space="preserve">Public Equity</t>
  </si>
  <si>
    <t xml:space="preserve">Anytime</t>
  </si>
  <si>
    <t xml:space="preserve">Lognormal</t>
  </si>
  <si>
    <t xml:space="preserve">Nifty-proxy; 18% vol = 10yr Nifty realised. Tax: SEBI MF pass-through (0%). Caps widened to ±2.5σ.</t>
  </si>
  <si>
    <t xml:space="preserve">Global Equity ETF</t>
  </si>
  <si>
    <t xml:space="preserve">MSCI World proxy; USD vol→INR. Tax: SEBI MF pass-through (0%). Caps widened.</t>
  </si>
  <si>
    <t xml:space="preserve">Active MF - Equity</t>
  </si>
  <si>
    <t xml:space="preserve">T+3</t>
  </si>
  <si>
    <t xml:space="preserve">ER CORRECTED to 14.5% (12.5% base + 2% alpha). Tax: SEBI MF (0%). Caps widened.</t>
  </si>
  <si>
    <t xml:space="preserve">Active MF - Dynamic</t>
  </si>
  <si>
    <t xml:space="preserve">Dynamic</t>
  </si>
  <si>
    <t xml:space="preserve">Normal</t>
  </si>
  <si>
    <t xml:space="preserve">BAF-type; equity 30-80%. Tax: SEBI MF pass-through (0%). Caps widened.</t>
  </si>
  <si>
    <t xml:space="preserve">Active MF - Global</t>
  </si>
  <si>
    <t xml:space="preserve">Feeder fund; FX partially hedged. Tax: SEBI MF pass-through (0%). Caps widened.</t>
  </si>
  <si>
    <t xml:space="preserve">Cat III AIF - Equity</t>
  </si>
  <si>
    <t xml:space="preserve">Quarterly</t>
  </si>
  <si>
    <t xml:space="preserve">Long/short; 20% carry above hurdle. Tax: 0% PILOT ONLY — Cat III taxed at MMR ~42.7% at fund level in live run. Caps widened.</t>
  </si>
  <si>
    <t xml:space="preserve">Cat III AIF - SIF/Dynamic</t>
  </si>
  <si>
    <t xml:space="preserve">SIF wrapper; dynamic allocation. Tax: 0% PILOT ONLY — Cat III fund-level MMR applies in live run. Caps widened.</t>
  </si>
  <si>
    <t xml:space="preserve">Cat II VC</t>
  </si>
  <si>
    <t xml:space="preserve">Private Equity</t>
  </si>
  <si>
    <t xml:space="preserve">Illiquid</t>
  </si>
  <si>
    <t xml:space="preserve">Skew-Normal</t>
  </si>
  <si>
    <t xml:space="preserve">J-curve: cap calls yr 1-3; dist yr 5-10. Tax: Cat II pass-through s.115UB (0%). Caps CRITICALLY widened from 0.26σ band.</t>
  </si>
  <si>
    <t xml:space="preserve">Buyout Funds</t>
  </si>
  <si>
    <t xml:space="preserve">Control premium; leverage 40-50%. Tax: Cat II pass-through (0%). Caps widened from 4% band.</t>
  </si>
  <si>
    <t xml:space="preserve">Precious Metals ETF</t>
  </si>
  <si>
    <t xml:space="preserve">Commodities</t>
  </si>
  <si>
    <t xml:space="preserve">Gold proxy; negative carry. ER CORRECTED to 7.0% (5.5% CPI + 1.5% real). Tax: SEBI MF (0%). Caps widened.</t>
  </si>
  <si>
    <t xml:space="preserve">Government Bonds</t>
  </si>
  <si>
    <t xml:space="preserve">Fixed Income</t>
  </si>
  <si>
    <t xml:space="preserve">T+1</t>
  </si>
  <si>
    <t xml:space="preserve">10yr G-Sec; duration ~7; coupon 6.8%. Tax: TDS recoverable; vehicle-level = 0%. Caps widened for rate shock scenarios.</t>
  </si>
  <si>
    <t xml:space="preserve">NCDs</t>
  </si>
  <si>
    <t xml:space="preserve">Semi-liquid</t>
  </si>
  <si>
    <t xml:space="preserve">AA-rated; credit spread ~150bps. Tax: TDS recoverable; 0% vehicle-level. Investor slab tax out of scope.</t>
  </si>
  <si>
    <t xml:space="preserve">Direct Credit</t>
  </si>
  <si>
    <t xml:space="preserve">Credit</t>
  </si>
  <si>
    <t xml:space="preserve">Bilateral loans; recovery 60% assumed. Tax: Cat II AIF wrapper; pass-through (0%). Caps widened for default scenarios.</t>
  </si>
  <si>
    <t xml:space="preserve">Performing Credit Funds</t>
  </si>
  <si>
    <t xml:space="preserve">Senior secured; 10% carry &gt;10% hurdle. Tax: Cat II pass-through (0%). CRITICAL: old floor (11%) was above mean (12.5%) — FIXED.</t>
  </si>
  <si>
    <t xml:space="preserve">Real Estate Funds</t>
  </si>
  <si>
    <t xml:space="preserve">ER CORRECTED to 14.0% (5% yield + 9% appreciation). Tax: Cat II pass-through (0%). Caps widened.</t>
  </si>
  <si>
    <t xml:space="preserve">Special Situation Funds</t>
  </si>
  <si>
    <t xml:space="preserve">Distressed/stressed; binary outcomes possible. Tax: Cat II pass-through (0%). Caps critically widened.</t>
  </si>
  <si>
    <t xml:space="preserve">Infrastructure Funds</t>
  </si>
  <si>
    <t xml:space="preserve">Inflation-linked; regulated assets; low vol. Tax: Cat II pass-through (0%). Caps modestly widened.</t>
  </si>
  <si>
    <t xml:space="preserve">Hard Assets</t>
  </si>
  <si>
    <t xml:space="preserve">Listed; NDCF-backed distributions. Tax: trust transparent (0%). Caps widened from 0.2σ band.</t>
  </si>
  <si>
    <t xml:space="preserve">Simulated Correlation Matrix  (Pilot — assumed values; replace with realised / factor-model correlations before live run)</t>
  </si>
  <si>
    <t xml:space="preserve">Heat-map Legend:</t>
  </si>
  <si>
    <t xml:space="preserve">≥ 0.70 (High +ve)</t>
  </si>
  <si>
    <t xml:space="preserve">0.50–0.70</t>
  </si>
  <si>
    <t xml:space="preserve">0.30–0.50</t>
  </si>
  <si>
    <t xml:space="preserve">0.10–0.30</t>
  </si>
  <si>
    <t xml:space="preserve">&lt; 0.10 / ~0</t>
  </si>
  <si>
    <t xml:space="preserve">Negative</t>
  </si>
  <si>
    <t xml:space="preserve">Monte Carlo Simulation — Global Settings</t>
  </si>
  <si>
    <t xml:space="preserve">PORTFOLIO SETTINGS</t>
  </si>
  <si>
    <t xml:space="preserve">Starting Portfolio Value (₹ Cr)</t>
  </si>
  <si>
    <t xml:space="preserve">Pilot: ₹100 Cr total AUM</t>
  </si>
  <si>
    <t xml:space="preserve">Base Currency</t>
  </si>
  <si>
    <t xml:space="preserve">INR</t>
  </si>
  <si>
    <t xml:space="preserve">Portfolio (select 1–4)</t>
  </si>
  <si>
    <t xml:space="preserve">Refers to Portfolio Options sheet</t>
  </si>
  <si>
    <t xml:space="preserve">SIMULATION SETTINGS</t>
  </si>
  <si>
    <t xml:space="preserve">Number of Simulations (paths)</t>
  </si>
  <si>
    <t xml:space="preserve">Pilot: 5,000; production: 10,000+</t>
  </si>
  <si>
    <t xml:space="preserve">Time Horizon (years)</t>
  </si>
  <si>
    <t xml:space="preserve">Matches longest payoff period</t>
  </si>
  <si>
    <t xml:space="preserve">Time Steps per Year</t>
  </si>
  <si>
    <t xml:space="preserve">Monthly steps</t>
  </si>
  <si>
    <t xml:space="preserve">Random Seed (for reproducibility)</t>
  </si>
  <si>
    <t xml:space="preserve">Fix seed for pilot</t>
  </si>
  <si>
    <t xml:space="preserve">RETURN ASSUMPTIONS</t>
  </si>
  <si>
    <t xml:space="preserve">Return Basis</t>
  </si>
  <si>
    <t xml:space="preserve">Geometric</t>
  </si>
  <si>
    <t xml:space="preserve">Geometric = compounded; arithmetic overstates long-run</t>
  </si>
  <si>
    <t xml:space="preserve">Include Income / Yield</t>
  </si>
  <si>
    <t xml:space="preserve">Yes</t>
  </si>
  <si>
    <t xml:space="preserve">Model separately from capital appreciation</t>
  </si>
  <si>
    <t xml:space="preserve">Reinvest Income</t>
  </si>
  <si>
    <t xml:space="preserve">Income reinvested back into same asset</t>
  </si>
  <si>
    <t xml:space="preserve">Inflation Assumption (pa)</t>
  </si>
  <si>
    <t xml:space="preserve">RBI medium-term target ~5.5%</t>
  </si>
  <si>
    <t xml:space="preserve">Report Real Returns</t>
  </si>
  <si>
    <t xml:space="preserve">Deflate by inflation</t>
  </si>
  <si>
    <t xml:space="preserve">PRIVATE ASSET SETTINGS</t>
  </si>
  <si>
    <t xml:space="preserve">Model Private Assets Separately</t>
  </si>
  <si>
    <t xml:space="preserve">Use cash-flow waterfall, not simple GBM</t>
  </si>
  <si>
    <t xml:space="preserve">J-Curve Smoothing Method</t>
  </si>
  <si>
    <t xml:space="preserve">S-Curve IRR</t>
  </si>
  <si>
    <t xml:space="preserve">Distribute capital calls/distributions over period</t>
  </si>
  <si>
    <t xml:space="preserve">NAV Smoothing Correction</t>
  </si>
  <si>
    <t xml:space="preserve">Apply unsmoothing factor to private asset vol</t>
  </si>
  <si>
    <t xml:space="preserve">Unsmoothing Factor</t>
  </si>
  <si>
    <t xml:space="preserve">Multiply reported vol by 1.4x for privates</t>
  </si>
  <si>
    <t xml:space="preserve">REBALANCING</t>
  </si>
  <si>
    <t xml:space="preserve">Rebalancing Frequency</t>
  </si>
  <si>
    <t xml:space="preserve">Annual</t>
  </si>
  <si>
    <t xml:space="preserve">Rebalance public assets annually</t>
  </si>
  <si>
    <t xml:space="preserve">Rebalancing Bands (±%)</t>
  </si>
  <si>
    <t xml:space="preserve">Trigger rebalance if weight drifts ±5%</t>
  </si>
  <si>
    <t xml:space="preserve">Rebalance Private Assets</t>
  </si>
  <si>
    <t xml:space="preserve">No</t>
  </si>
  <si>
    <t xml:space="preserve">Illiquid — no rebalancing</t>
  </si>
  <si>
    <t xml:space="preserve">OUTPUT SETTINGS</t>
  </si>
  <si>
    <t xml:space="preserve">Confidence Intervals</t>
  </si>
  <si>
    <t xml:space="preserve">5%, 25%, 50%, 75%, 95%</t>
  </si>
  <si>
    <t xml:space="preserve">Report Metric</t>
  </si>
  <si>
    <t xml:space="preserve">TWRR</t>
  </si>
  <si>
    <t xml:space="preserve">Time-weighted rate of return</t>
  </si>
  <si>
    <t xml:space="preserve">Max Drawdown Tracking</t>
  </si>
  <si>
    <t xml:space="preserve">VaR Level</t>
  </si>
  <si>
    <t xml:space="preserve">5% VaR (95% confidence)</t>
  </si>
  <si>
    <t xml:space="preserve">CVaR / Expected Shortfall</t>
  </si>
  <si>
    <t xml:space="preserve">Average loss beyond VaR</t>
  </si>
  <si>
    <t xml:space="preserve">Portfolio Allocation Weights — from Working Sheet</t>
  </si>
  <si>
    <t xml:space="preserve">Portfolio 1
(Min Risk)</t>
  </si>
  <si>
    <t xml:space="preserve">Portfolio 2
(Balanced)</t>
  </si>
  <si>
    <t xml:space="preserve">Portfolio 3
(Growth)</t>
  </si>
  <si>
    <t xml:space="preserve">Portfolio 4
(High Return)</t>
  </si>
  <si>
    <t xml:space="preserve">TOTAL</t>
  </si>
  <si>
    <t xml:space="preserve">MC Input Parameters — Master Correction Log  (v1 → v4)  |  All corrections consolidated</t>
  </si>
  <si>
    <t xml:space="preserve">#</t>
  </si>
  <si>
    <t xml:space="preserve">Asset / Scope</t>
  </si>
  <si>
    <t xml:space="preserve">Field</t>
  </si>
  <si>
    <t xml:space="preserve">v1 Value</t>
  </si>
  <si>
    <t xml:space="preserve">v4 Value</t>
  </si>
  <si>
    <t xml:space="preserve">Severity</t>
  </si>
  <si>
    <t xml:space="preserve">Rationale &amp; Legal Basis</t>
  </si>
  <si>
    <t xml:space="preserve">A</t>
  </si>
  <si>
    <t xml:space="preserve">Expected Return</t>
  </si>
  <si>
    <t xml:space="preserve">14.0%</t>
  </si>
  <si>
    <t xml:space="preserve">14.5%</t>
  </si>
  <si>
    <t xml:space="preserve">MEDIUM</t>
  </si>
  <si>
    <t xml:space="preserve">Notes state alpha = +2% over India ETF base (12.5%). 12.5 + 2.0 = 14.5%. 50bps error compounds materially over 10yr horizon.</t>
  </si>
  <si>
    <t xml:space="preserve">B</t>
  </si>
  <si>
    <t xml:space="preserve">Notes explicitly decompose: rental yield 5% + capital appreciation 9% = 14.0%. 14.5% overstates by 50bps.</t>
  </si>
  <si>
    <t xml:space="preserve">C</t>
  </si>
  <si>
    <t xml:space="preserve">10.0%</t>
  </si>
  <si>
    <t xml:space="preserve">7.0%</t>
  </si>
  <si>
    <t xml:space="preserve">Gold at 10% nominal with stated negative carry is historically aggressive. Revised: RBI inflation target 5.5% + 1.5% real return = 7.0%.</t>
  </si>
  <si>
    <t xml:space="preserve">D</t>
  </si>
  <si>
    <t xml:space="preserve">ALL Assets</t>
  </si>
  <si>
    <t xml:space="preserve">Tax Drag</t>
  </si>
  <si>
    <t xml:space="preserve">0.5–10.0%</t>
  </si>
  <si>
    <t xml:space="preserve">0.0%</t>
  </si>
  <si>
    <t xml:space="preserve">TAX</t>
  </si>
  <si>
    <t xml:space="preserve">Scope corrected to vehicle-level only. SEBI MFs and Cat II AIFs are statutory pass-throughs (s.115UB, s.10(23FBA) Income Tax Act). TDS on bonds is recoverable withholding. InvITs are trust-transparent. Investor-level slab tax applied separately to final simulation output.</t>
  </si>
  <si>
    <t xml:space="preserve">E</t>
  </si>
  <si>
    <t xml:space="preserve">Cat III AIF (both)</t>
  </si>
  <si>
    <t xml:space="preserve">Tax Drag note</t>
  </si>
  <si>
    <t xml:space="preserve">0.8%</t>
  </si>
  <si>
    <t xml:space="preserve">0% pilot ⚠️</t>
  </si>
  <si>
    <t xml:space="preserve">Cat III AIFs are NOT pass-through. Taxed at fund level at MMR ~42.7% on business income/STCG, 12.5% on LTCG. Material drag. Set 0% for uniform pilot baseline only. MANDATORY revision before live run.</t>
  </si>
  <si>
    <t xml:space="preserve">F</t>
  </si>
  <si>
    <t xml:space="preserve">Min Return floor</t>
  </si>
  <si>
    <t xml:space="preserve">11.0%</t>
  </si>
  <si>
    <t xml:space="preserve">-5.0%</t>
  </si>
  <si>
    <t xml:space="preserve">CRITICAL</t>
  </si>
  <si>
    <t xml:space="preserve">LOGICAL ERROR: floor (11%) was ABOVE the mean return (12.5%). Every path was bounded from below by a value exceeding the mean. Simulation was mathematically invalid — any result from v1 for this asset must be discarded.</t>
  </si>
  <si>
    <t xml:space="preserve">G</t>
  </si>
  <si>
    <t xml:space="preserve">Min/Max Cap</t>
  </si>
  <si>
    <t xml:space="preserve">12% to 21%</t>
  </si>
  <si>
    <t xml:space="preserve">-50% to 75%</t>
  </si>
  <si>
    <t xml:space="preserve">35% vol squeezed into a 9% band = tails truncated at 0.26σ. VC return distribution is highly dispersed by design. Paths were near-deterministic.</t>
  </si>
  <si>
    <t xml:space="preserve">H</t>
  </si>
  <si>
    <t xml:space="preserve">14% to 18%</t>
  </si>
  <si>
    <t xml:space="preserve">-30% to 55%</t>
  </si>
  <si>
    <t xml:space="preserve">25% vol in a 4% band. Leverage-related downside and multiple-expansion upside both unmodellable. Band must accommodate at least ±2σ.</t>
  </si>
  <si>
    <t xml:space="preserve">I</t>
  </si>
  <si>
    <t xml:space="preserve">12% to 18%</t>
  </si>
  <si>
    <t xml:space="preserve">-25% to 55%</t>
  </si>
  <si>
    <t xml:space="preserve">20% vol in a 6% band (0.3σ). Long/short strategies can have significant drawdowns; tail removal defeats Monte Carlo purpose.</t>
  </si>
  <si>
    <t xml:space="preserve">J</t>
  </si>
  <si>
    <t xml:space="preserve">-40% to 65%</t>
  </si>
  <si>
    <t xml:space="preserve">Distressed assets with 22% vol and binary-outcome risk in a 4% band. Worst-case recovery scenarios were structurally impossible.</t>
  </si>
  <si>
    <t xml:space="preserve">K</t>
  </si>
  <si>
    <t xml:space="preserve">-20% to 50%</t>
  </si>
  <si>
    <t xml:space="preserve">Post ER correction to 14.5%; widened to ±2.5σ. Active equity can underperform significantly in down cycles.</t>
  </si>
  <si>
    <t xml:space="preserve">L</t>
  </si>
  <si>
    <t xml:space="preserve">10% to 18%</t>
  </si>
  <si>
    <t xml:space="preserve">FX risk and global drawdown scenarios not captured in old 8% band.</t>
  </si>
  <si>
    <t xml:space="preserve">M</t>
  </si>
  <si>
    <t xml:space="preserve">8% to 10%</t>
  </si>
  <si>
    <t xml:space="preserve">-20% to 40%</t>
  </si>
  <si>
    <t xml:space="preserve">Bilateral loans carry explicit default risk (recovery 60% assumed). Old 2% band ignored credit events entirely.</t>
  </si>
  <si>
    <t xml:space="preserve">N</t>
  </si>
  <si>
    <t xml:space="preserve">12% to 16%</t>
  </si>
  <si>
    <t xml:space="preserve">-15% to 45%</t>
  </si>
  <si>
    <t xml:space="preserve">Post ER correction; real estate cycles produce significant capital losses not captured in old band.</t>
  </si>
  <si>
    <t xml:space="preserve">O</t>
  </si>
  <si>
    <t xml:space="preserve">8% to 12%</t>
  </si>
  <si>
    <t xml:space="preserve">-25% to 50%</t>
  </si>
  <si>
    <t xml:space="preserve">Post ER correction; gold has historically fallen 30%+ (USD). Old 4% band was completely inadequate.</t>
  </si>
  <si>
    <t xml:space="preserve">P</t>
  </si>
  <si>
    <t xml:space="preserve">5.5% to 8%</t>
  </si>
  <si>
    <t xml:space="preserve">-5% to 15%</t>
  </si>
  <si>
    <t xml:space="preserve">6% vol; duration ~7yrs means rate shock scenarios (e.g. +200bps) produce losses outside old 2.5% band.</t>
  </si>
  <si>
    <t xml:space="preserve">Q</t>
  </si>
  <si>
    <t xml:space="preserve">6% to 8.5%</t>
  </si>
  <si>
    <t xml:space="preserve">-5% to 20%</t>
  </si>
  <si>
    <t xml:space="preserve">Credit event risk not captured; widened to allow spread widening scenarios.</t>
  </si>
  <si>
    <t xml:space="preserve">R</t>
  </si>
  <si>
    <t xml:space="preserve">10% to 12.5%</t>
  </si>
  <si>
    <t xml:space="preserve">-10% to 30%</t>
  </si>
  <si>
    <t xml:space="preserve">Listed; 12% vol; old 2.5% band truncated within 0.2σ.</t>
  </si>
  <si>
    <t xml:space="preserve">S</t>
  </si>
  <si>
    <t xml:space="preserve">13% to 16%</t>
  </si>
  <si>
    <t xml:space="preserve">5% to 30%</t>
  </si>
  <si>
    <t xml:space="preserve">LOW</t>
  </si>
  <si>
    <t xml:space="preserve">Regulated assets justify tighter band; modest widening for interest rate sensitivity.</t>
  </si>
  <si>
    <t xml:space="preserve">T</t>
  </si>
  <si>
    <t xml:space="preserve">Portfolio 3 (Growth)</t>
  </si>
  <si>
    <t xml:space="preserve">India ETF Weight</t>
  </si>
  <si>
    <t xml:space="preserve">16.5%</t>
  </si>
  <si>
    <t xml:space="preserve">19.0%</t>
  </si>
  <si>
    <t xml:space="preserve">Total allocation summed to 97.5%. 2.5% gap allocated to most liquid asset (India Equity ETF) to reach 100%.</t>
  </si>
  <si>
    <t xml:space="preserve">U</t>
  </si>
  <si>
    <t xml:space="preserve">Portfolio 4 (High Return)</t>
  </si>
  <si>
    <t xml:space="preserve">15.0%</t>
  </si>
  <si>
    <t xml:space="preserve">18.0%</t>
  </si>
  <si>
    <t xml:space="preserve">Total allocation summed to 97.0%. 3.0% gap allocated to India Equity ETF to reach 100%.</t>
  </si>
  <si>
    <t xml:space="preserve">V</t>
  </si>
  <si>
    <t xml:space="preserve">Cat III AIFs (all)</t>
  </si>
  <si>
    <t xml:space="preserve">Rebalancing Logic</t>
  </si>
  <si>
    <t xml:space="preserve">Annual trigger</t>
  </si>
  <si>
    <t xml:space="preserve">EXCLUDE</t>
  </si>
  <si>
    <t xml:space="preserve">ADVISORY</t>
  </si>
  <si>
    <t xml:space="preserve">Cat III AIFs have 1yr lock-ins and quarterly liquidity. Simulation engine must exclude from annual rebalancing trigger to avoid simulating unrealistic secondary market exits.</t>
  </si>
  <si>
    <t xml:space="preserve">W</t>
  </si>
  <si>
    <t xml:space="preserve">AIFs with Carry</t>
  </si>
  <si>
    <t xml:space="preserve">Carry Fee Logic</t>
  </si>
  <si>
    <t xml:space="preserve">Pre-embedded in ER</t>
  </si>
  <si>
    <t xml:space="preserve">Dynamic in engine</t>
  </si>
  <si>
    <t xml:space="preserve">Carry currently baked into expected returns. Recommended: compute carry dynamically in Python engine only on paths that breach the hurdle rate. Produces accurate net-of-carry distribution without needing return caps.</t>
  </si>
</sst>
</file>

<file path=xl/styles.xml><?xml version="1.0" encoding="utf-8"?>
<styleSheet xmlns="http://schemas.openxmlformats.org/spreadsheetml/2006/main">
  <numFmts count="4">
    <numFmt numFmtId="164" formatCode="General"/>
    <numFmt numFmtId="165" formatCode="0.0%"/>
    <numFmt numFmtId="166" formatCode="0"/>
    <numFmt numFmtId="167" formatCode="0.00"/>
  </numFmts>
  <fonts count="34">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55555"/>
      <name val="Arial"/>
      <family val="0"/>
      <charset val="1"/>
    </font>
    <font>
      <b val="true"/>
      <sz val="10"/>
      <color rgb="FFFFFFFF"/>
      <name val="Arial"/>
      <family val="0"/>
      <charset val="1"/>
    </font>
    <font>
      <b val="true"/>
      <sz val="9"/>
      <color rgb="FF1F2D3D"/>
      <name val="Arial"/>
      <family val="0"/>
      <charset val="1"/>
    </font>
    <font>
      <sz val="9"/>
      <color rgb="FF333333"/>
      <name val="Arial"/>
      <family val="0"/>
      <charset val="1"/>
    </font>
    <font>
      <sz val="9"/>
      <color rgb="FFFFFFFF"/>
      <name val="Arial"/>
      <family val="0"/>
      <charset val="1"/>
    </font>
    <font>
      <b val="true"/>
      <sz val="14"/>
      <color rgb="FFFFFFFF"/>
      <name val="Arial"/>
      <family val="0"/>
      <charset val="1"/>
    </font>
    <font>
      <b val="true"/>
      <sz val="9"/>
      <color rgb="FFFFFFFF"/>
      <name val="Arial"/>
      <family val="0"/>
      <charset val="1"/>
    </font>
    <font>
      <b val="true"/>
      <sz val="10"/>
      <color rgb="FF000000"/>
      <name val="Arial"/>
      <family val="0"/>
      <charset val="1"/>
    </font>
    <font>
      <i val="true"/>
      <sz val="10"/>
      <color rgb="FF444444"/>
      <name val="Arial"/>
      <family val="0"/>
      <charset val="1"/>
    </font>
    <font>
      <sz val="10"/>
      <color rgb="FF0000FF"/>
      <name val="Arial"/>
      <family val="0"/>
      <charset val="1"/>
    </font>
    <font>
      <sz val="10"/>
      <color rgb="FF333333"/>
      <name val="Arial"/>
      <family val="0"/>
      <charset val="1"/>
    </font>
    <font>
      <i val="true"/>
      <sz val="8"/>
      <color rgb="FF555555"/>
      <name val="Arial"/>
      <family val="0"/>
      <charset val="1"/>
    </font>
    <font>
      <b val="true"/>
      <sz val="12"/>
      <color rgb="FFFFFFFF"/>
      <name val="Arial"/>
      <family val="0"/>
      <charset val="1"/>
    </font>
    <font>
      <b val="true"/>
      <sz val="8"/>
      <color rgb="FFFFFFFF"/>
      <name val="Arial"/>
      <family val="0"/>
      <charset val="1"/>
    </font>
    <font>
      <b val="true"/>
      <sz val="9"/>
      <name val="Arial"/>
      <family val="0"/>
      <charset val="1"/>
    </font>
    <font>
      <sz val="8"/>
      <color rgb="FFFFFFFF"/>
      <name val="Arial"/>
      <family val="0"/>
      <charset val="1"/>
    </font>
    <font>
      <sz val="8"/>
      <name val="Arial"/>
      <family val="0"/>
      <charset val="1"/>
    </font>
    <font>
      <sz val="8"/>
      <color rgb="FF666666"/>
      <name val="Arial"/>
      <family val="0"/>
      <charset val="1"/>
    </font>
    <font>
      <sz val="9"/>
      <color rgb="FF000000"/>
      <name val="Arial"/>
      <family val="0"/>
      <charset val="1"/>
    </font>
    <font>
      <b val="true"/>
      <sz val="13"/>
      <color rgb="FFFFFFFF"/>
      <name val="Arial"/>
      <family val="0"/>
      <charset val="1"/>
    </font>
    <font>
      <sz val="10"/>
      <color rgb="FF000000"/>
      <name val="Arial"/>
      <family val="0"/>
      <charset val="1"/>
    </font>
    <font>
      <i val="true"/>
      <sz val="9"/>
      <color rgb="FF666666"/>
      <name val="Arial"/>
      <family val="0"/>
      <charset val="1"/>
    </font>
    <font>
      <b val="true"/>
      <sz val="10"/>
      <name val="Arial"/>
      <family val="0"/>
      <charset val="1"/>
    </font>
    <font>
      <b val="true"/>
      <sz val="11"/>
      <name val="Arial"/>
      <family val="0"/>
      <charset val="1"/>
    </font>
    <font>
      <sz val="9"/>
      <color rgb="FF666666"/>
      <name val="Arial"/>
      <family val="0"/>
      <charset val="1"/>
    </font>
    <font>
      <sz val="9"/>
      <color rgb="FFC62828"/>
      <name val="Arial"/>
      <family val="0"/>
      <charset val="1"/>
    </font>
    <font>
      <b val="true"/>
      <sz val="9"/>
      <color rgb="FF0000FF"/>
      <name val="Arial"/>
      <family val="0"/>
      <charset val="1"/>
    </font>
    <font>
      <b val="true"/>
      <sz val="9"/>
      <color rgb="FF000000"/>
      <name val="Arial"/>
      <family val="0"/>
      <charset val="1"/>
    </font>
    <font>
      <i val="true"/>
      <sz val="9"/>
      <color rgb="FF333333"/>
      <name val="Arial"/>
      <family val="0"/>
      <charset val="1"/>
    </font>
  </fonts>
  <fills count="26">
    <fill>
      <patternFill patternType="none"/>
    </fill>
    <fill>
      <patternFill patternType="gray125"/>
    </fill>
    <fill>
      <patternFill patternType="solid">
        <fgColor rgb="FF1F2D3D"/>
        <bgColor rgb="FF333333"/>
      </patternFill>
    </fill>
    <fill>
      <patternFill patternType="solid">
        <fgColor rgb="FFF5F5F5"/>
        <bgColor rgb="FFFAFAFA"/>
      </patternFill>
    </fill>
    <fill>
      <patternFill patternType="solid">
        <fgColor rgb="FF2E4057"/>
        <bgColor rgb="FF444444"/>
      </patternFill>
    </fill>
    <fill>
      <patternFill patternType="solid">
        <fgColor rgb="FFD6E4F0"/>
        <bgColor rgb="FFE3F2FD"/>
      </patternFill>
    </fill>
    <fill>
      <patternFill patternType="solid">
        <fgColor rgb="FFFFFFFF"/>
        <bgColor rgb="FFFAFAFA"/>
      </patternFill>
    </fill>
    <fill>
      <patternFill patternType="solid">
        <fgColor rgb="FFEBF4FA"/>
        <bgColor rgb="FFE3F2FD"/>
      </patternFill>
    </fill>
    <fill>
      <patternFill patternType="solid">
        <fgColor rgb="FFFFEBEE"/>
        <bgColor rgb="FFF3E5F5"/>
      </patternFill>
    </fill>
    <fill>
      <patternFill patternType="solid">
        <fgColor rgb="FFFFE0B2"/>
        <bgColor rgb="FFFFCDD2"/>
      </patternFill>
    </fill>
    <fill>
      <patternFill patternType="solid">
        <fgColor rgb="FFFFF9C4"/>
        <bgColor rgb="FFF5F5F5"/>
      </patternFill>
    </fill>
    <fill>
      <patternFill patternType="solid">
        <fgColor rgb="FFE8F5E9"/>
        <bgColor rgb="FFEBF4FA"/>
      </patternFill>
    </fill>
    <fill>
      <patternFill patternType="solid">
        <fgColor rgb="FF3A6186"/>
        <bgColor rgb="FF555555"/>
      </patternFill>
    </fill>
    <fill>
      <patternFill patternType="solid">
        <fgColor rgb="FF5C7A99"/>
        <bgColor rgb="FF666666"/>
      </patternFill>
    </fill>
    <fill>
      <patternFill patternType="solid">
        <fgColor rgb="FF6D4C41"/>
        <bgColor rgb="FF555555"/>
      </patternFill>
    </fill>
    <fill>
      <patternFill patternType="solid">
        <fgColor rgb="FF827717"/>
        <bgColor rgb="FF666666"/>
      </patternFill>
    </fill>
    <fill>
      <patternFill patternType="solid">
        <fgColor rgb="FF2E7D32"/>
        <bgColor rgb="FF008000"/>
      </patternFill>
    </fill>
    <fill>
      <patternFill patternType="solid">
        <fgColor rgb="FF4A148C"/>
        <bgColor rgb="FF800080"/>
      </patternFill>
    </fill>
    <fill>
      <patternFill patternType="solid">
        <fgColor rgb="FF00695C"/>
        <bgColor rgb="FF008080"/>
      </patternFill>
    </fill>
    <fill>
      <patternFill patternType="solid">
        <fgColor rgb="FFC62828"/>
        <bgColor rgb="FFFF0000"/>
      </patternFill>
    </fill>
    <fill>
      <patternFill patternType="solid">
        <fgColor rgb="FFEF9A9A"/>
        <bgColor rgb="FFFF8080"/>
      </patternFill>
    </fill>
    <fill>
      <patternFill patternType="solid">
        <fgColor rgb="FFBBDEFB"/>
        <bgColor rgb="FFD6E4F0"/>
      </patternFill>
    </fill>
    <fill>
      <patternFill patternType="solid">
        <fgColor rgb="FFE3F2FD"/>
        <bgColor rgb="FFEBF4FA"/>
      </patternFill>
    </fill>
    <fill>
      <patternFill patternType="solid">
        <fgColor rgb="FFFAFAFA"/>
        <bgColor rgb="FFFFFFFF"/>
      </patternFill>
    </fill>
    <fill>
      <patternFill patternType="solid">
        <fgColor rgb="FFFFCDD2"/>
        <bgColor rgb="FFFFE0B2"/>
      </patternFill>
    </fill>
    <fill>
      <patternFill patternType="solid">
        <fgColor rgb="FFF3E5F5"/>
        <bgColor rgb="FFFFEBEE"/>
      </patternFill>
    </fill>
  </fills>
  <borders count="5">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BDBDBD"/>
      </left>
      <right style="thin">
        <color rgb="FFBDBDBD"/>
      </right>
      <top style="thin">
        <color rgb="FFBDBDB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left"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true" indent="0" shrinkToFit="false"/>
      <protection locked="true" hidden="false"/>
    </xf>
    <xf numFmtId="164" fontId="13" fillId="7" borderId="3" xfId="0" applyFont="true" applyBorder="true" applyAlignment="true" applyProtection="false">
      <alignment horizontal="left" vertical="center" textRotation="0" wrapText="true" indent="0" shrinkToFit="false"/>
      <protection locked="true" hidden="false"/>
    </xf>
    <xf numFmtId="165" fontId="14" fillId="11" borderId="3" xfId="0" applyFont="true" applyBorder="true" applyAlignment="true" applyProtection="false">
      <alignment horizontal="center" vertical="center" textRotation="0" wrapText="true" indent="0" shrinkToFit="false"/>
      <protection locked="true" hidden="false"/>
    </xf>
    <xf numFmtId="165" fontId="14" fillId="9" borderId="3" xfId="0" applyFont="true" applyBorder="true" applyAlignment="true" applyProtection="false">
      <alignment horizontal="center" vertical="center" textRotation="0" wrapText="true" indent="0" shrinkToFit="false"/>
      <protection locked="true" hidden="false"/>
    </xf>
    <xf numFmtId="164" fontId="15" fillId="10" borderId="3" xfId="0" applyFont="true" applyBorder="true" applyAlignment="true" applyProtection="false">
      <alignment horizontal="left" vertical="center" textRotation="0" wrapText="true" indent="0" shrinkToFit="false"/>
      <protection locked="true" hidden="false"/>
    </xf>
    <xf numFmtId="166" fontId="14" fillId="11" borderId="3" xfId="0" applyFont="true" applyBorder="true" applyAlignment="true" applyProtection="false">
      <alignment horizontal="center" vertical="center" textRotation="0" wrapText="true" indent="0" shrinkToFit="false"/>
      <protection locked="true" hidden="false"/>
    </xf>
    <xf numFmtId="164" fontId="16" fillId="7" borderId="3" xfId="0" applyFont="true" applyBorder="true" applyAlignment="true" applyProtection="false">
      <alignment horizontal="left" vertical="center" textRotation="0" wrapText="true" indent="0" shrinkToFit="false"/>
      <protection locked="true" hidden="false"/>
    </xf>
    <xf numFmtId="164" fontId="11" fillId="12" borderId="4" xfId="0" applyFont="true" applyBorder="true" applyAlignment="true" applyProtection="false">
      <alignment horizontal="center" vertical="center" textRotation="90" wrapText="true" indent="0" shrinkToFit="false"/>
      <protection locked="true" hidden="false"/>
    </xf>
    <xf numFmtId="164" fontId="13" fillId="6" borderId="3" xfId="0" applyFont="true" applyBorder="true" applyAlignment="true" applyProtection="false">
      <alignment horizontal="left" vertical="center" textRotation="0" wrapText="true" indent="0" shrinkToFit="false"/>
      <protection locked="true" hidden="false"/>
    </xf>
    <xf numFmtId="164" fontId="16" fillId="6" borderId="3" xfId="0" applyFont="true" applyBorder="true" applyAlignment="true" applyProtection="false">
      <alignment horizontal="left" vertical="center" textRotation="0" wrapText="true" indent="0" shrinkToFit="false"/>
      <protection locked="true" hidden="false"/>
    </xf>
    <xf numFmtId="164" fontId="11" fillId="13" borderId="3" xfId="0" applyFont="true" applyBorder="true" applyAlignment="true" applyProtection="false">
      <alignment horizontal="center" vertical="center" textRotation="90" wrapText="true" indent="0" shrinkToFit="false"/>
      <protection locked="true" hidden="false"/>
    </xf>
    <xf numFmtId="164" fontId="11" fillId="14" borderId="4" xfId="0" applyFont="true" applyBorder="true" applyAlignment="true" applyProtection="false">
      <alignment horizontal="center" vertical="center" textRotation="90" wrapText="true" indent="0" shrinkToFit="false"/>
      <protection locked="true" hidden="false"/>
    </xf>
    <xf numFmtId="164" fontId="11" fillId="15" borderId="3" xfId="0" applyFont="true" applyBorder="true" applyAlignment="true" applyProtection="false">
      <alignment horizontal="center" vertical="center" textRotation="90" wrapText="true" indent="0" shrinkToFit="false"/>
      <protection locked="true" hidden="false"/>
    </xf>
    <xf numFmtId="164" fontId="11" fillId="16" borderId="4" xfId="0" applyFont="true" applyBorder="true" applyAlignment="true" applyProtection="false">
      <alignment horizontal="center" vertical="center" textRotation="90" wrapText="true" indent="0" shrinkToFit="false"/>
      <protection locked="true" hidden="false"/>
    </xf>
    <xf numFmtId="164" fontId="11" fillId="17" borderId="4" xfId="0" applyFont="true" applyBorder="true" applyAlignment="true" applyProtection="false">
      <alignment horizontal="center" vertical="center" textRotation="90" wrapText="true" indent="0" shrinkToFit="false"/>
      <protection locked="true" hidden="false"/>
    </xf>
    <xf numFmtId="164" fontId="11" fillId="18" borderId="3" xfId="0" applyFont="true" applyBorder="true" applyAlignment="true" applyProtection="false">
      <alignment horizontal="center" vertical="center" textRotation="90" wrapText="true" indent="0" shrinkToFit="false"/>
      <protection locked="true" hidden="false"/>
    </xf>
    <xf numFmtId="164" fontId="17" fillId="2" borderId="0" xfId="0" applyFont="true" applyBorder="true" applyAlignment="true" applyProtection="false">
      <alignment horizontal="center" vertical="center" textRotation="0" wrapText="true" indent="0" shrinkToFit="false"/>
      <protection locked="true" hidden="false"/>
    </xf>
    <xf numFmtId="164" fontId="18" fillId="4" borderId="3" xfId="0" applyFont="true" applyBorder="true" applyAlignment="true" applyProtection="false">
      <alignment horizontal="center" vertical="center" textRotation="90" wrapText="true" indent="0" shrinkToFit="false"/>
      <protection locked="true" hidden="false"/>
    </xf>
    <xf numFmtId="164" fontId="19" fillId="5" borderId="3" xfId="0" applyFont="true" applyBorder="true" applyAlignment="true" applyProtection="false">
      <alignment horizontal="left" vertical="center" textRotation="0" wrapText="true" indent="0" shrinkToFit="false"/>
      <protection locked="true" hidden="false"/>
    </xf>
    <xf numFmtId="167" fontId="11" fillId="2" borderId="3" xfId="0" applyFont="true" applyBorder="true" applyAlignment="true" applyProtection="false">
      <alignment horizontal="center" vertical="center" textRotation="0" wrapText="true" indent="0" shrinkToFit="false"/>
      <protection locked="true" hidden="false"/>
    </xf>
    <xf numFmtId="167" fontId="20" fillId="19" borderId="3" xfId="0" applyFont="true" applyBorder="true" applyAlignment="true" applyProtection="false">
      <alignment horizontal="center" vertical="center" textRotation="0" wrapText="true" indent="0" shrinkToFit="false"/>
      <protection locked="true" hidden="false"/>
    </xf>
    <xf numFmtId="167" fontId="21" fillId="10" borderId="3" xfId="0" applyFont="true" applyBorder="true" applyAlignment="true" applyProtection="false">
      <alignment horizontal="center" vertical="center" textRotation="0" wrapText="true" indent="0" shrinkToFit="false"/>
      <protection locked="true" hidden="false"/>
    </xf>
    <xf numFmtId="167" fontId="21" fillId="20" borderId="3" xfId="0" applyFont="true" applyBorder="true" applyAlignment="true" applyProtection="false">
      <alignment horizontal="center" vertical="center" textRotation="0" wrapText="true" indent="0" shrinkToFit="false"/>
      <protection locked="true" hidden="false"/>
    </xf>
    <xf numFmtId="167" fontId="21" fillId="6" borderId="3" xfId="0" applyFont="true" applyBorder="true" applyAlignment="true" applyProtection="false">
      <alignment horizontal="center" vertical="center" textRotation="0" wrapText="true" indent="0" shrinkToFit="false"/>
      <protection locked="true" hidden="false"/>
    </xf>
    <xf numFmtId="167" fontId="21" fillId="21" borderId="3" xfId="0" applyFont="true" applyBorder="true" applyAlignment="true" applyProtection="false">
      <alignment horizontal="center" vertical="center" textRotation="0" wrapText="true" indent="0" shrinkToFit="false"/>
      <protection locked="true" hidden="false"/>
    </xf>
    <xf numFmtId="167" fontId="22" fillId="3" borderId="3" xfId="0" applyFont="true" applyBorder="true" applyAlignment="true" applyProtection="false">
      <alignment horizontal="center" vertical="center" textRotation="0" wrapText="true" indent="0" shrinkToFit="false"/>
      <protection locked="true" hidden="false"/>
    </xf>
    <xf numFmtId="167" fontId="21" fillId="11" borderId="3"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9" fillId="19" borderId="3" xfId="0" applyFont="true" applyBorder="true" applyAlignment="true" applyProtection="false">
      <alignment horizontal="center" vertical="center" textRotation="0" wrapText="true" indent="0" shrinkToFit="false"/>
      <protection locked="true" hidden="false"/>
    </xf>
    <xf numFmtId="164" fontId="23" fillId="20" borderId="3" xfId="0" applyFont="true" applyBorder="true" applyAlignment="true" applyProtection="false">
      <alignment horizontal="center" vertical="center" textRotation="0" wrapText="true" indent="0" shrinkToFit="false"/>
      <protection locked="true" hidden="false"/>
    </xf>
    <xf numFmtId="164" fontId="23" fillId="10" borderId="3" xfId="0" applyFont="true" applyBorder="true" applyAlignment="true" applyProtection="false">
      <alignment horizontal="center" vertical="center" textRotation="0" wrapText="true" indent="0" shrinkToFit="false"/>
      <protection locked="true" hidden="false"/>
    </xf>
    <xf numFmtId="164" fontId="23" fillId="11" borderId="3" xfId="0" applyFont="true" applyBorder="true" applyAlignment="true" applyProtection="false">
      <alignment horizontal="center" vertical="center" textRotation="0" wrapText="true" indent="0" shrinkToFit="false"/>
      <protection locked="true" hidden="false"/>
    </xf>
    <xf numFmtId="164" fontId="23" fillId="6" borderId="3" xfId="0" applyFont="true" applyBorder="true" applyAlignment="true" applyProtection="false">
      <alignment horizontal="center" vertical="center" textRotation="0" wrapText="true" indent="0" shrinkToFit="false"/>
      <protection locked="true" hidden="false"/>
    </xf>
    <xf numFmtId="164" fontId="23" fillId="21" borderId="3"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true" applyProtection="false">
      <alignment horizontal="center" vertical="center" textRotation="0" wrapText="true" indent="0" shrinkToFit="false"/>
      <protection locked="true" hidden="false"/>
    </xf>
    <xf numFmtId="164" fontId="6" fillId="12" borderId="0" xfId="0" applyFont="true" applyBorder="true" applyAlignment="true" applyProtection="false">
      <alignment horizontal="left" vertical="center" textRotation="0" wrapText="true" indent="0" shrinkToFit="false"/>
      <protection locked="true" hidden="false"/>
    </xf>
    <xf numFmtId="164" fontId="25" fillId="6" borderId="3" xfId="0" applyFont="true" applyBorder="true" applyAlignment="true" applyProtection="false">
      <alignment horizontal="general" vertical="bottom" textRotation="0" wrapText="false" indent="0" shrinkToFit="false"/>
      <protection locked="true" hidden="false"/>
    </xf>
    <xf numFmtId="164" fontId="14" fillId="11" borderId="3" xfId="0" applyFont="true" applyBorder="true" applyAlignment="true" applyProtection="false">
      <alignment horizontal="center" vertical="center" textRotation="0" wrapText="true" indent="0" shrinkToFit="false"/>
      <protection locked="true" hidden="false"/>
    </xf>
    <xf numFmtId="164" fontId="26" fillId="0" borderId="3" xfId="0" applyFont="true" applyBorder="true" applyAlignment="true" applyProtection="false">
      <alignment horizontal="general" vertical="bottom" textRotation="0" wrapText="false" indent="0" shrinkToFit="false"/>
      <protection locked="true" hidden="false"/>
    </xf>
    <xf numFmtId="164" fontId="25" fillId="7" borderId="3" xfId="0" applyFont="true" applyBorder="true" applyAlignment="true" applyProtection="false">
      <alignment horizontal="general" vertical="bottom" textRotation="0" wrapText="false" indent="0" shrinkToFit="false"/>
      <protection locked="true" hidden="false"/>
    </xf>
    <xf numFmtId="165" fontId="14" fillId="10" borderId="3" xfId="0" applyFont="true" applyBorder="true" applyAlignment="true" applyProtection="false">
      <alignment horizontal="center" vertical="center" textRotation="0" wrapText="true" indent="0" shrinkToFit="false"/>
      <protection locked="true" hidden="false"/>
    </xf>
    <xf numFmtId="167" fontId="14" fillId="11" borderId="3" xfId="0" applyFont="true" applyBorder="true" applyAlignment="true" applyProtection="false">
      <alignment horizontal="center" vertical="center" textRotation="0" wrapText="true" indent="0" shrinkToFit="false"/>
      <protection locked="true" hidden="false"/>
    </xf>
    <xf numFmtId="164" fontId="27" fillId="5" borderId="0" xfId="0" applyFont="true" applyBorder="false" applyAlignment="true" applyProtection="false">
      <alignment horizontal="general" vertical="bottom" textRotation="0" wrapText="false" indent="0" shrinkToFit="false"/>
      <protection locked="true" hidden="false"/>
    </xf>
    <xf numFmtId="165" fontId="28" fillId="5" borderId="3" xfId="0" applyFont="true" applyBorder="true" applyAlignment="true" applyProtection="false">
      <alignment horizontal="center" vertical="center" textRotation="0" wrapText="true" indent="0" shrinkToFit="false"/>
      <protection locked="true" hidden="false"/>
    </xf>
    <xf numFmtId="164" fontId="29" fillId="6" borderId="3" xfId="0" applyFont="true" applyBorder="true" applyAlignment="true" applyProtection="false">
      <alignment horizontal="center" vertical="center" textRotation="0" wrapText="true" indent="0" shrinkToFit="false"/>
      <protection locked="true" hidden="false"/>
    </xf>
    <xf numFmtId="164" fontId="30" fillId="8" borderId="3" xfId="0" applyFont="true" applyBorder="true" applyAlignment="true" applyProtection="false">
      <alignment horizontal="center" vertical="center" textRotation="0" wrapText="true" indent="0" shrinkToFit="false"/>
      <protection locked="true" hidden="false"/>
    </xf>
    <xf numFmtId="164" fontId="31" fillId="22" borderId="3" xfId="0" applyFont="true" applyBorder="true" applyAlignment="true" applyProtection="false">
      <alignment horizontal="center" vertical="center" textRotation="0" wrapText="true" indent="0" shrinkToFit="false"/>
      <protection locked="true" hidden="false"/>
    </xf>
    <xf numFmtId="164" fontId="32" fillId="10" borderId="3" xfId="0" applyFont="true" applyBorder="true" applyAlignment="true" applyProtection="false">
      <alignment horizontal="center" vertical="center" textRotation="0" wrapText="true" indent="0" shrinkToFit="false"/>
      <protection locked="true" hidden="false"/>
    </xf>
    <xf numFmtId="164" fontId="33" fillId="6" borderId="3" xfId="0" applyFont="true" applyBorder="true" applyAlignment="true" applyProtection="false">
      <alignment horizontal="left" vertical="center" textRotation="0" wrapText="true" indent="0" shrinkToFit="false"/>
      <protection locked="true" hidden="false"/>
    </xf>
    <xf numFmtId="164" fontId="29" fillId="23" borderId="3" xfId="0" applyFont="true" applyBorder="true" applyAlignment="true" applyProtection="false">
      <alignment horizontal="center" vertical="center" textRotation="0" wrapText="true" indent="0" shrinkToFit="false"/>
      <protection locked="true" hidden="false"/>
    </xf>
    <xf numFmtId="164" fontId="23" fillId="23" borderId="3" xfId="0" applyFont="true" applyBorder="true" applyAlignment="true" applyProtection="false">
      <alignment horizontal="center" vertical="center" textRotation="0" wrapText="true" indent="0" shrinkToFit="false"/>
      <protection locked="true" hidden="false"/>
    </xf>
    <xf numFmtId="164" fontId="33" fillId="23" borderId="3" xfId="0" applyFont="true" applyBorder="true" applyAlignment="true" applyProtection="false">
      <alignment horizontal="left" vertical="center" textRotation="0" wrapText="true" indent="0" shrinkToFit="false"/>
      <protection locked="true" hidden="false"/>
    </xf>
    <xf numFmtId="164" fontId="32" fillId="21" borderId="3" xfId="0" applyFont="true" applyBorder="true" applyAlignment="true" applyProtection="false">
      <alignment horizontal="center" vertical="center" textRotation="0" wrapText="true" indent="0" shrinkToFit="false"/>
      <protection locked="true" hidden="false"/>
    </xf>
    <xf numFmtId="164" fontId="32" fillId="24" borderId="3" xfId="0" applyFont="true" applyBorder="true" applyAlignment="true" applyProtection="false">
      <alignment horizontal="center" vertical="center" textRotation="0" wrapText="true" indent="0" shrinkToFit="false"/>
      <protection locked="true" hidden="false"/>
    </xf>
    <xf numFmtId="164" fontId="32" fillId="11" borderId="3" xfId="0" applyFont="true" applyBorder="true" applyAlignment="true" applyProtection="false">
      <alignment horizontal="center" vertical="center" textRotation="0" wrapText="true" indent="0" shrinkToFit="false"/>
      <protection locked="true" hidden="false"/>
    </xf>
    <xf numFmtId="164" fontId="32" fillId="25"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BEE"/>
      <rgbColor rgb="FFFF00FF"/>
      <rgbColor rgb="FF00FFFF"/>
      <rgbColor rgb="FF800000"/>
      <rgbColor rgb="FF008000"/>
      <rgbColor rgb="FF000080"/>
      <rgbColor rgb="FF827717"/>
      <rgbColor rgb="FF800080"/>
      <rgbColor rgb="FF00695C"/>
      <rgbColor rgb="FFBDBDBD"/>
      <rgbColor rgb="FF666666"/>
      <rgbColor rgb="FFD6E4F0"/>
      <rgbColor rgb="FF6D4C41"/>
      <rgbColor rgb="FFFFF9C4"/>
      <rgbColor rgb="FFE3F2FD"/>
      <rgbColor rgb="FF4A148C"/>
      <rgbColor rgb="FFFF8080"/>
      <rgbColor rgb="FF3A6186"/>
      <rgbColor rgb="FFBBDEFB"/>
      <rgbColor rgb="FF000080"/>
      <rgbColor rgb="FFFF00FF"/>
      <rgbColor rgb="FFFAFAFA"/>
      <rgbColor rgb="FF00FFFF"/>
      <rgbColor rgb="FF800080"/>
      <rgbColor rgb="FF800000"/>
      <rgbColor rgb="FF008080"/>
      <rgbColor rgb="FF0000FF"/>
      <rgbColor rgb="FF00CCFF"/>
      <rgbColor rgb="FFE8F5E9"/>
      <rgbColor rgb="FFEBF4FA"/>
      <rgbColor rgb="FFF5F5F5"/>
      <rgbColor rgb="FFCCCCCC"/>
      <rgbColor rgb="FFEF9A9A"/>
      <rgbColor rgb="FFFFCDD2"/>
      <rgbColor rgb="FFFFE0B2"/>
      <rgbColor rgb="FF3366FF"/>
      <rgbColor rgb="FF33CCCC"/>
      <rgbColor rgb="FF99CC00"/>
      <rgbColor rgb="FFF3E5F5"/>
      <rgbColor rgb="FFFF9900"/>
      <rgbColor rgb="FFFF6600"/>
      <rgbColor rgb="FF5C7A99"/>
      <rgbColor rgb="FF969696"/>
      <rgbColor rgb="FF1F2D3D"/>
      <rgbColor rgb="FF2E7D32"/>
      <rgbColor rgb="FF003300"/>
      <rgbColor rgb="FF444444"/>
      <rgbColor rgb="FFC62828"/>
      <rgbColor rgb="FF555555"/>
      <rgbColor rgb="FF2E405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36" hidden="false" customHeight="true" outlineLevel="0" collapsed="false">
      <c r="A1" s="1" t="s">
        <v>0</v>
      </c>
      <c r="B1" s="1"/>
    </row>
    <row r="2" customFormat="false" ht="15.75" hidden="false" customHeight="true" outlineLevel="0" collapsed="false">
      <c r="A2" s="2" t="s">
        <v>1</v>
      </c>
      <c r="B2" s="2"/>
    </row>
    <row r="3" customFormat="false" ht="6" hidden="false" customHeight="true" outlineLevel="0" collapsed="false"/>
    <row r="4" customFormat="false" ht="24" hidden="false" customHeight="true" outlineLevel="0" collapsed="false">
      <c r="A4" s="3" t="s">
        <v>2</v>
      </c>
      <c r="B4" s="3"/>
    </row>
    <row r="5" customFormat="false" ht="39.75" hidden="false" customHeight="true" outlineLevel="0" collapsed="false">
      <c r="A5" s="4" t="s">
        <v>3</v>
      </c>
      <c r="B5" s="5" t="s">
        <v>4</v>
      </c>
    </row>
    <row r="6" customFormat="false" ht="48" hidden="false" customHeight="true" outlineLevel="0" collapsed="false">
      <c r="A6" s="4" t="s">
        <v>5</v>
      </c>
      <c r="B6" s="5" t="s">
        <v>6</v>
      </c>
    </row>
    <row r="7" customFormat="false" ht="31.5" hidden="false" customHeight="true" outlineLevel="0" collapsed="false">
      <c r="A7" s="4" t="s">
        <v>7</v>
      </c>
      <c r="B7" s="5" t="s">
        <v>8</v>
      </c>
    </row>
    <row r="8" customFormat="false" ht="6" hidden="false" customHeight="true" outlineLevel="0" collapsed="false"/>
    <row r="9" customFormat="false" ht="24" hidden="false" customHeight="true" outlineLevel="0" collapsed="false">
      <c r="A9" s="3" t="s">
        <v>9</v>
      </c>
      <c r="B9" s="3"/>
    </row>
    <row r="10" customFormat="false" ht="31.5" hidden="false" customHeight="true" outlineLevel="0" collapsed="false">
      <c r="A10" s="4" t="s">
        <v>10</v>
      </c>
      <c r="B10" s="5" t="s">
        <v>11</v>
      </c>
    </row>
    <row r="11" customFormat="false" ht="31.5" hidden="false" customHeight="true" outlineLevel="0" collapsed="false">
      <c r="A11" s="4" t="s">
        <v>12</v>
      </c>
      <c r="B11" s="5" t="s">
        <v>13</v>
      </c>
    </row>
    <row r="12" customFormat="false" ht="31.5" hidden="false" customHeight="true" outlineLevel="0" collapsed="false">
      <c r="A12" s="4" t="s">
        <v>14</v>
      </c>
      <c r="B12" s="5" t="s">
        <v>15</v>
      </c>
    </row>
    <row r="13" customFormat="false" ht="31.5" hidden="false" customHeight="true" outlineLevel="0" collapsed="false">
      <c r="A13" s="4" t="s">
        <v>16</v>
      </c>
      <c r="B13" s="5" t="s">
        <v>17</v>
      </c>
    </row>
    <row r="14" customFormat="false" ht="31.5" hidden="false" customHeight="true" outlineLevel="0" collapsed="false">
      <c r="A14" s="4" t="s">
        <v>18</v>
      </c>
      <c r="B14" s="5" t="s">
        <v>19</v>
      </c>
    </row>
    <row r="15" customFormat="false" ht="31.5" hidden="false" customHeight="true" outlineLevel="0" collapsed="false">
      <c r="A15" s="4" t="s">
        <v>20</v>
      </c>
      <c r="B15" s="5" t="s">
        <v>21</v>
      </c>
    </row>
    <row r="16" customFormat="false" ht="6" hidden="false" customHeight="true" outlineLevel="0" collapsed="false"/>
    <row r="17" customFormat="false" ht="24" hidden="false" customHeight="true" outlineLevel="0" collapsed="false">
      <c r="A17" s="3" t="s">
        <v>22</v>
      </c>
      <c r="B17" s="3"/>
    </row>
    <row r="18" customFormat="false" ht="36" hidden="false" customHeight="true" outlineLevel="0" collapsed="false">
      <c r="A18" s="4" t="s">
        <v>23</v>
      </c>
      <c r="B18" s="5" t="s">
        <v>24</v>
      </c>
    </row>
    <row r="19" customFormat="false" ht="36" hidden="false" customHeight="true" outlineLevel="0" collapsed="false">
      <c r="A19" s="4" t="s">
        <v>25</v>
      </c>
      <c r="B19" s="5" t="s">
        <v>26</v>
      </c>
    </row>
    <row r="20" customFormat="false" ht="36" hidden="false" customHeight="true" outlineLevel="0" collapsed="false">
      <c r="A20" s="4" t="s">
        <v>27</v>
      </c>
      <c r="B20" s="5" t="s">
        <v>28</v>
      </c>
    </row>
    <row r="21" customFormat="false" ht="36" hidden="false" customHeight="true" outlineLevel="0" collapsed="false">
      <c r="A21" s="4" t="s">
        <v>29</v>
      </c>
      <c r="B21" s="5" t="s">
        <v>30</v>
      </c>
    </row>
    <row r="22" customFormat="false" ht="36" hidden="false" customHeight="true" outlineLevel="0" collapsed="false">
      <c r="A22" s="4" t="s">
        <v>31</v>
      </c>
      <c r="B22" s="5" t="s">
        <v>32</v>
      </c>
    </row>
    <row r="23" customFormat="false" ht="36" hidden="false" customHeight="true" outlineLevel="0" collapsed="false">
      <c r="A23" s="4" t="s">
        <v>33</v>
      </c>
      <c r="B23" s="5" t="s">
        <v>34</v>
      </c>
    </row>
    <row r="24" customFormat="false" ht="36" hidden="false" customHeight="true" outlineLevel="0" collapsed="false">
      <c r="A24" s="4" t="s">
        <v>35</v>
      </c>
      <c r="B24" s="5" t="s">
        <v>36</v>
      </c>
    </row>
    <row r="25" customFormat="false" ht="36" hidden="false" customHeight="true" outlineLevel="0" collapsed="false">
      <c r="A25" s="4" t="s">
        <v>37</v>
      </c>
      <c r="B25" s="5" t="s">
        <v>38</v>
      </c>
    </row>
    <row r="26" customFormat="false" ht="36" hidden="false" customHeight="true" outlineLevel="0" collapsed="false">
      <c r="A26" s="4" t="s">
        <v>39</v>
      </c>
      <c r="B26" s="5" t="s">
        <v>40</v>
      </c>
    </row>
    <row r="27" customFormat="false" ht="36" hidden="false" customHeight="true" outlineLevel="0" collapsed="false">
      <c r="A27" s="4" t="s">
        <v>41</v>
      </c>
      <c r="B27" s="5" t="s">
        <v>42</v>
      </c>
    </row>
    <row r="28" customFormat="false" ht="36" hidden="false" customHeight="true" outlineLevel="0" collapsed="false">
      <c r="A28" s="4" t="s">
        <v>43</v>
      </c>
      <c r="B28" s="5" t="s">
        <v>44</v>
      </c>
    </row>
    <row r="29" customFormat="false" ht="36" hidden="false" customHeight="true" outlineLevel="0" collapsed="false">
      <c r="A29" s="4" t="s">
        <v>45</v>
      </c>
      <c r="B29" s="5" t="s">
        <v>46</v>
      </c>
    </row>
    <row r="30" customFormat="false" ht="36" hidden="false" customHeight="true" outlineLevel="0" collapsed="false">
      <c r="A30" s="4" t="s">
        <v>47</v>
      </c>
      <c r="B30" s="5" t="s">
        <v>48</v>
      </c>
    </row>
    <row r="31" customFormat="false" ht="36" hidden="false" customHeight="true" outlineLevel="0" collapsed="false">
      <c r="A31" s="4" t="s">
        <v>49</v>
      </c>
      <c r="B31" s="5" t="s">
        <v>50</v>
      </c>
    </row>
    <row r="32" customFormat="false" ht="36" hidden="false" customHeight="true" outlineLevel="0" collapsed="false">
      <c r="A32" s="4" t="s">
        <v>51</v>
      </c>
      <c r="B32" s="5" t="s">
        <v>52</v>
      </c>
    </row>
    <row r="33" customFormat="false" ht="36" hidden="false" customHeight="true" outlineLevel="0" collapsed="false">
      <c r="A33" s="4" t="s">
        <v>53</v>
      </c>
      <c r="B33" s="5" t="s">
        <v>54</v>
      </c>
    </row>
    <row r="34" customFormat="false" ht="6" hidden="false" customHeight="true" outlineLevel="0" collapsed="false"/>
    <row r="35" customFormat="false" ht="24" hidden="false" customHeight="true" outlineLevel="0" collapsed="false">
      <c r="A35" s="3" t="s">
        <v>55</v>
      </c>
      <c r="B35" s="3"/>
    </row>
    <row r="36" customFormat="false" ht="51.75" hidden="false" customHeight="true" outlineLevel="0" collapsed="false">
      <c r="A36" s="6" t="s">
        <v>56</v>
      </c>
      <c r="B36" s="5" t="s">
        <v>57</v>
      </c>
    </row>
    <row r="37" customFormat="false" ht="51.75" hidden="false" customHeight="true" outlineLevel="0" collapsed="false">
      <c r="A37" s="6" t="s">
        <v>58</v>
      </c>
      <c r="B37" s="5" t="s">
        <v>59</v>
      </c>
    </row>
    <row r="38" customFormat="false" ht="51.75" hidden="false" customHeight="true" outlineLevel="0" collapsed="false">
      <c r="A38" s="6" t="s">
        <v>60</v>
      </c>
      <c r="B38" s="5" t="s">
        <v>61</v>
      </c>
    </row>
    <row r="39" customFormat="false" ht="51.75" hidden="false" customHeight="true" outlineLevel="0" collapsed="false">
      <c r="A39" s="6" t="s">
        <v>62</v>
      </c>
      <c r="B39" s="5" t="s">
        <v>63</v>
      </c>
    </row>
    <row r="40" customFormat="false" ht="51.75" hidden="false" customHeight="true" outlineLevel="0" collapsed="false">
      <c r="A40" s="7" t="s">
        <v>64</v>
      </c>
      <c r="B40" s="5" t="s">
        <v>65</v>
      </c>
    </row>
    <row r="41" customFormat="false" ht="6" hidden="false" customHeight="true" outlineLevel="0" collapsed="false"/>
    <row r="42" customFormat="false" ht="24" hidden="false" customHeight="true" outlineLevel="0" collapsed="false">
      <c r="A42" s="3" t="s">
        <v>66</v>
      </c>
      <c r="B42" s="3"/>
    </row>
    <row r="43" customFormat="false" ht="43.5" hidden="false" customHeight="true" outlineLevel="0" collapsed="false">
      <c r="A43" s="7" t="s">
        <v>67</v>
      </c>
      <c r="B43" s="5" t="s">
        <v>68</v>
      </c>
    </row>
    <row r="44" customFormat="false" ht="43.5" hidden="false" customHeight="true" outlineLevel="0" collapsed="false">
      <c r="A44" s="7" t="s">
        <v>69</v>
      </c>
      <c r="B44" s="5" t="s">
        <v>70</v>
      </c>
    </row>
    <row r="45" customFormat="false" ht="43.5" hidden="false" customHeight="true" outlineLevel="0" collapsed="false">
      <c r="A45" s="7" t="s">
        <v>71</v>
      </c>
      <c r="B45" s="5" t="s">
        <v>72</v>
      </c>
    </row>
    <row r="46" customFormat="false" ht="43.5" hidden="false" customHeight="true" outlineLevel="0" collapsed="false">
      <c r="A46" s="7" t="s">
        <v>73</v>
      </c>
      <c r="B46" s="5" t="s">
        <v>74</v>
      </c>
    </row>
    <row r="47" customFormat="false" ht="43.5" hidden="false" customHeight="true" outlineLevel="0" collapsed="false">
      <c r="A47" s="8" t="s">
        <v>75</v>
      </c>
      <c r="B47" s="5" t="s">
        <v>76</v>
      </c>
    </row>
    <row r="48" customFormat="false" ht="43.5" hidden="false" customHeight="true" outlineLevel="0" collapsed="false">
      <c r="A48" s="8" t="s">
        <v>77</v>
      </c>
      <c r="B48" s="5" t="s">
        <v>78</v>
      </c>
    </row>
    <row r="49" customFormat="false" ht="43.5" hidden="false" customHeight="true" outlineLevel="0" collapsed="false">
      <c r="A49" s="8" t="s">
        <v>79</v>
      </c>
      <c r="B49" s="5" t="s">
        <v>80</v>
      </c>
    </row>
    <row r="50" customFormat="false" ht="43.5" hidden="false" customHeight="true" outlineLevel="0" collapsed="false">
      <c r="A50" s="9" t="s">
        <v>81</v>
      </c>
      <c r="B50" s="5" t="s">
        <v>82</v>
      </c>
    </row>
    <row r="51" customFormat="false" ht="43.5" hidden="false" customHeight="true" outlineLevel="0" collapsed="false">
      <c r="A51" s="6" t="s">
        <v>83</v>
      </c>
      <c r="B51" s="5" t="s">
        <v>84</v>
      </c>
    </row>
    <row r="52" customFormat="false" ht="6" hidden="false" customHeight="true" outlineLevel="0" collapsed="false"/>
    <row r="53" customFormat="false" ht="24" hidden="false" customHeight="true" outlineLevel="0" collapsed="false">
      <c r="A53" s="3" t="s">
        <v>85</v>
      </c>
      <c r="B53" s="3"/>
    </row>
    <row r="54" customFormat="false" ht="39.75" hidden="false" customHeight="true" outlineLevel="0" collapsed="false">
      <c r="A54" s="4" t="s">
        <v>86</v>
      </c>
      <c r="B54" s="5" t="s">
        <v>87</v>
      </c>
    </row>
    <row r="55" customFormat="false" ht="39.75" hidden="false" customHeight="true" outlineLevel="0" collapsed="false">
      <c r="A55" s="4" t="s">
        <v>88</v>
      </c>
      <c r="B55" s="5" t="s">
        <v>89</v>
      </c>
    </row>
    <row r="56" customFormat="false" ht="39.75" hidden="false" customHeight="true" outlineLevel="0" collapsed="false">
      <c r="A56" s="4" t="s">
        <v>90</v>
      </c>
      <c r="B56" s="5" t="s">
        <v>91</v>
      </c>
    </row>
    <row r="57" customFormat="false" ht="39.75" hidden="false" customHeight="true" outlineLevel="0" collapsed="false">
      <c r="A57" s="4" t="s">
        <v>92</v>
      </c>
      <c r="B57" s="5" t="s">
        <v>93</v>
      </c>
    </row>
    <row r="58" customFormat="false" ht="39.75" hidden="false" customHeight="true" outlineLevel="0" collapsed="false">
      <c r="A58" s="4" t="s">
        <v>94</v>
      </c>
      <c r="B58" s="5" t="s">
        <v>95</v>
      </c>
    </row>
    <row r="59" customFormat="false" ht="39.75" hidden="false" customHeight="true" outlineLevel="0" collapsed="false">
      <c r="A59" s="4" t="s">
        <v>96</v>
      </c>
      <c r="B59" s="5" t="s">
        <v>97</v>
      </c>
    </row>
    <row r="60" customFormat="false" ht="39.75" hidden="false" customHeight="true" outlineLevel="0" collapsed="false">
      <c r="A60" s="4" t="s">
        <v>98</v>
      </c>
      <c r="B60" s="5" t="s">
        <v>99</v>
      </c>
    </row>
    <row r="61" customFormat="false" ht="6" hidden="false" customHeight="true" outlineLevel="0" collapsed="false"/>
    <row r="62" customFormat="false" ht="24" hidden="false" customHeight="true" outlineLevel="0" collapsed="false">
      <c r="A62" s="3" t="s">
        <v>100</v>
      </c>
      <c r="B62" s="3"/>
    </row>
    <row r="63" customFormat="false" ht="36" hidden="false" customHeight="true" outlineLevel="0" collapsed="false">
      <c r="A63" s="4" t="s">
        <v>101</v>
      </c>
      <c r="B63" s="5" t="s">
        <v>102</v>
      </c>
    </row>
    <row r="64" customFormat="false" ht="36" hidden="false" customHeight="true" outlineLevel="0" collapsed="false">
      <c r="A64" s="4" t="s">
        <v>103</v>
      </c>
      <c r="B64" s="5" t="s">
        <v>104</v>
      </c>
    </row>
    <row r="65" customFormat="false" ht="36" hidden="false" customHeight="true" outlineLevel="0" collapsed="false">
      <c r="A65" s="4" t="s">
        <v>105</v>
      </c>
      <c r="B65" s="5" t="s">
        <v>106</v>
      </c>
    </row>
    <row r="66" customFormat="false" ht="36" hidden="false" customHeight="true" outlineLevel="0" collapsed="false">
      <c r="A66" s="4" t="s">
        <v>107</v>
      </c>
      <c r="B66" s="5" t="s">
        <v>108</v>
      </c>
    </row>
    <row r="67" customFormat="false" ht="36" hidden="false" customHeight="true" outlineLevel="0" collapsed="false">
      <c r="A67" s="4" t="s">
        <v>109</v>
      </c>
      <c r="B67" s="5" t="s">
        <v>110</v>
      </c>
    </row>
    <row r="68" customFormat="false" ht="36" hidden="false" customHeight="true" outlineLevel="0" collapsed="false">
      <c r="A68" s="4" t="s">
        <v>111</v>
      </c>
      <c r="B68" s="5" t="s">
        <v>112</v>
      </c>
    </row>
    <row r="69" customFormat="false" ht="6" hidden="false" customHeight="true" outlineLevel="0" collapsed="false"/>
    <row r="70" customFormat="false" ht="19.5" hidden="false" customHeight="true" outlineLevel="0" collapsed="false">
      <c r="A70" s="10" t="s">
        <v>113</v>
      </c>
      <c r="B70" s="10"/>
    </row>
  </sheetData>
  <mergeCells count="10">
    <mergeCell ref="A1:B1"/>
    <mergeCell ref="A2:B2"/>
    <mergeCell ref="A4:B4"/>
    <mergeCell ref="A9:B9"/>
    <mergeCell ref="A17:B17"/>
    <mergeCell ref="A35:B35"/>
    <mergeCell ref="A42:B42"/>
    <mergeCell ref="A53:B53"/>
    <mergeCell ref="A62:B62"/>
    <mergeCell ref="A70:B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1" width="28"/>
    <col collapsed="false" customWidth="true" hidden="false" outlineLevel="0" max="2" min="2" style="11" width="14"/>
    <col collapsed="false" customWidth="true" hidden="false" outlineLevel="0" max="10" min="3" style="11" width="12"/>
    <col collapsed="false" customWidth="true" hidden="false" outlineLevel="0" max="11" min="11" style="11" width="14"/>
    <col collapsed="false" customWidth="true" hidden="false" outlineLevel="0" max="18" min="12" style="11" width="12"/>
    <col collapsed="false" customWidth="true" hidden="false" outlineLevel="0" max="19" min="19" style="11" width="14"/>
    <col collapsed="false" customWidth="true" hidden="false" outlineLevel="0" max="20" min="20" style="11" width="6"/>
  </cols>
  <sheetData>
    <row r="1" customFormat="false" ht="30" hidden="false" customHeight="true" outlineLevel="0" collapsed="false">
      <c r="A1" s="12" t="s">
        <v>114</v>
      </c>
      <c r="B1" s="12"/>
      <c r="C1" s="12"/>
      <c r="D1" s="12"/>
      <c r="E1" s="12"/>
      <c r="F1" s="12"/>
      <c r="G1" s="12"/>
      <c r="H1" s="12"/>
      <c r="I1" s="12"/>
      <c r="J1" s="12"/>
      <c r="K1" s="12"/>
      <c r="L1" s="12"/>
      <c r="M1" s="12"/>
      <c r="N1" s="12"/>
      <c r="O1" s="12"/>
      <c r="P1" s="12"/>
      <c r="Q1" s="12"/>
      <c r="R1" s="12"/>
      <c r="S1" s="12"/>
      <c r="T1" s="12"/>
    </row>
    <row r="2" customFormat="false" ht="15.75" hidden="false" customHeight="true" outlineLevel="0" collapsed="false">
      <c r="A2" s="13" t="s">
        <v>115</v>
      </c>
      <c r="B2" s="13"/>
      <c r="C2" s="13"/>
      <c r="D2" s="13"/>
      <c r="E2" s="13"/>
      <c r="F2" s="13"/>
      <c r="G2" s="13"/>
      <c r="H2" s="13"/>
      <c r="I2" s="13"/>
      <c r="J2" s="13"/>
      <c r="K2" s="13"/>
      <c r="L2" s="13"/>
      <c r="M2" s="13"/>
      <c r="N2" s="13"/>
      <c r="O2" s="13"/>
      <c r="P2" s="13"/>
      <c r="Q2" s="13"/>
      <c r="R2" s="13"/>
      <c r="S2" s="13"/>
      <c r="T2" s="13"/>
    </row>
    <row r="3" customFormat="false" ht="39.75" hidden="false" customHeight="true" outlineLevel="0" collapsed="false">
      <c r="A3" s="14" t="s">
        <v>116</v>
      </c>
      <c r="B3" s="14" t="s">
        <v>117</v>
      </c>
      <c r="C3" s="14" t="s">
        <v>118</v>
      </c>
      <c r="D3" s="14" t="s">
        <v>119</v>
      </c>
      <c r="E3" s="14" t="s">
        <v>27</v>
      </c>
      <c r="F3" s="14" t="s">
        <v>120</v>
      </c>
      <c r="G3" s="14" t="s">
        <v>121</v>
      </c>
      <c r="H3" s="14" t="s">
        <v>122</v>
      </c>
      <c r="I3" s="14" t="s">
        <v>123</v>
      </c>
      <c r="J3" s="14" t="s">
        <v>124</v>
      </c>
      <c r="K3" s="14" t="s">
        <v>125</v>
      </c>
      <c r="L3" s="14" t="s">
        <v>126</v>
      </c>
      <c r="M3" s="14" t="s">
        <v>127</v>
      </c>
      <c r="N3" s="14" t="s">
        <v>128</v>
      </c>
      <c r="O3" s="14" t="s">
        <v>129</v>
      </c>
      <c r="P3" s="14" t="s">
        <v>130</v>
      </c>
      <c r="Q3" s="14" t="s">
        <v>131</v>
      </c>
      <c r="R3" s="14" t="s">
        <v>132</v>
      </c>
      <c r="S3" s="14" t="s">
        <v>133</v>
      </c>
    </row>
    <row r="4" customFormat="false" ht="18" hidden="false" customHeight="true" outlineLevel="0" collapsed="false">
      <c r="A4" s="15" t="s">
        <v>134</v>
      </c>
      <c r="B4" s="16" t="s">
        <v>135</v>
      </c>
      <c r="C4" s="17" t="n">
        <v>0.125</v>
      </c>
      <c r="D4" s="17" t="n">
        <v>0.18</v>
      </c>
      <c r="E4" s="17" t="n">
        <v>-0.3</v>
      </c>
      <c r="F4" s="17" t="n">
        <v>0.5</v>
      </c>
      <c r="G4" s="17" t="n">
        <v>0.01</v>
      </c>
      <c r="H4" s="17" t="n">
        <v>0.001</v>
      </c>
      <c r="I4" s="17" t="n">
        <v>0</v>
      </c>
      <c r="J4" s="18" t="n">
        <v>0</v>
      </c>
      <c r="K4" s="19" t="s">
        <v>136</v>
      </c>
      <c r="L4" s="20" t="n">
        <v>0</v>
      </c>
      <c r="M4" s="20" t="n">
        <v>0</v>
      </c>
      <c r="N4" s="20" t="n">
        <v>0</v>
      </c>
      <c r="O4" s="20" t="n">
        <v>3</v>
      </c>
      <c r="P4" s="19" t="s">
        <v>137</v>
      </c>
      <c r="Q4" s="18" t="n">
        <v>-0.2</v>
      </c>
      <c r="R4" s="18" t="n">
        <v>0.4</v>
      </c>
      <c r="S4" s="21" t="s">
        <v>138</v>
      </c>
      <c r="T4" s="22" t="s">
        <v>135</v>
      </c>
    </row>
    <row r="5" customFormat="false" ht="18" hidden="false" customHeight="true" outlineLevel="0" collapsed="false">
      <c r="A5" s="15" t="s">
        <v>139</v>
      </c>
      <c r="B5" s="23" t="s">
        <v>135</v>
      </c>
      <c r="C5" s="17" t="n">
        <v>0.135</v>
      </c>
      <c r="D5" s="17" t="n">
        <v>0.16</v>
      </c>
      <c r="E5" s="17" t="n">
        <v>-0.2</v>
      </c>
      <c r="F5" s="17" t="n">
        <v>0.4</v>
      </c>
      <c r="G5" s="17" t="n">
        <v>0.015</v>
      </c>
      <c r="H5" s="17" t="n">
        <v>0.002</v>
      </c>
      <c r="I5" s="17" t="n">
        <v>0</v>
      </c>
      <c r="J5" s="18" t="n">
        <v>0</v>
      </c>
      <c r="K5" s="19" t="s">
        <v>136</v>
      </c>
      <c r="L5" s="20" t="n">
        <v>0</v>
      </c>
      <c r="M5" s="20" t="n">
        <v>0</v>
      </c>
      <c r="N5" s="20" t="n">
        <v>0</v>
      </c>
      <c r="O5" s="20" t="n">
        <v>3</v>
      </c>
      <c r="P5" s="19" t="s">
        <v>137</v>
      </c>
      <c r="Q5" s="18" t="n">
        <v>-0.2</v>
      </c>
      <c r="R5" s="18" t="n">
        <v>0.4</v>
      </c>
      <c r="S5" s="24" t="s">
        <v>140</v>
      </c>
      <c r="T5" s="22"/>
    </row>
    <row r="6" customFormat="false" ht="18" hidden="false" customHeight="true" outlineLevel="0" collapsed="false">
      <c r="A6" s="15" t="s">
        <v>141</v>
      </c>
      <c r="B6" s="16" t="s">
        <v>135</v>
      </c>
      <c r="C6" s="18" t="n">
        <v>0.145</v>
      </c>
      <c r="D6" s="17" t="n">
        <v>0.19</v>
      </c>
      <c r="E6" s="17" t="n">
        <v>-0.3</v>
      </c>
      <c r="F6" s="17" t="n">
        <v>0.6</v>
      </c>
      <c r="G6" s="17" t="n">
        <v>0.005</v>
      </c>
      <c r="H6" s="17" t="n">
        <v>0.015</v>
      </c>
      <c r="I6" s="17" t="n">
        <v>0</v>
      </c>
      <c r="J6" s="18" t="n">
        <v>0</v>
      </c>
      <c r="K6" s="19" t="s">
        <v>142</v>
      </c>
      <c r="L6" s="20" t="n">
        <v>0</v>
      </c>
      <c r="M6" s="20" t="n">
        <v>0</v>
      </c>
      <c r="N6" s="20" t="n">
        <v>0</v>
      </c>
      <c r="O6" s="20" t="n">
        <v>3</v>
      </c>
      <c r="P6" s="19" t="s">
        <v>137</v>
      </c>
      <c r="Q6" s="18" t="n">
        <v>-0.2</v>
      </c>
      <c r="R6" s="18" t="n">
        <v>0.5</v>
      </c>
      <c r="S6" s="21" t="s">
        <v>143</v>
      </c>
      <c r="T6" s="22"/>
    </row>
    <row r="7" customFormat="false" ht="18" hidden="false" customHeight="true" outlineLevel="0" collapsed="false">
      <c r="A7" s="15" t="s">
        <v>144</v>
      </c>
      <c r="B7" s="23" t="s">
        <v>145</v>
      </c>
      <c r="C7" s="17" t="n">
        <v>0.09</v>
      </c>
      <c r="D7" s="17" t="n">
        <v>0.1</v>
      </c>
      <c r="E7" s="17" t="n">
        <v>-0.1</v>
      </c>
      <c r="F7" s="17" t="n">
        <v>0.2</v>
      </c>
      <c r="G7" s="17" t="n">
        <v>0.02</v>
      </c>
      <c r="H7" s="17" t="n">
        <v>0.015</v>
      </c>
      <c r="I7" s="17" t="n">
        <v>0</v>
      </c>
      <c r="J7" s="18" t="n">
        <v>0</v>
      </c>
      <c r="K7" s="19" t="s">
        <v>142</v>
      </c>
      <c r="L7" s="20" t="n">
        <v>0</v>
      </c>
      <c r="M7" s="20" t="n">
        <v>0</v>
      </c>
      <c r="N7" s="20" t="n">
        <v>0</v>
      </c>
      <c r="O7" s="20" t="n">
        <v>2</v>
      </c>
      <c r="P7" s="19" t="s">
        <v>146</v>
      </c>
      <c r="Q7" s="18" t="n">
        <v>-0.1</v>
      </c>
      <c r="R7" s="18" t="n">
        <v>0.25</v>
      </c>
      <c r="S7" s="24" t="s">
        <v>147</v>
      </c>
      <c r="T7" s="22"/>
    </row>
    <row r="8" customFormat="false" ht="18" hidden="false" customHeight="true" outlineLevel="0" collapsed="false">
      <c r="A8" s="15" t="s">
        <v>148</v>
      </c>
      <c r="B8" s="16" t="s">
        <v>135</v>
      </c>
      <c r="C8" s="17" t="n">
        <v>0.14</v>
      </c>
      <c r="D8" s="17" t="n">
        <v>0.17</v>
      </c>
      <c r="E8" s="17" t="n">
        <v>-0.2</v>
      </c>
      <c r="F8" s="17" t="n">
        <v>0.4</v>
      </c>
      <c r="G8" s="17" t="n">
        <v>0.01</v>
      </c>
      <c r="H8" s="17" t="n">
        <v>0.015</v>
      </c>
      <c r="I8" s="17" t="n">
        <v>0</v>
      </c>
      <c r="J8" s="18" t="n">
        <v>0</v>
      </c>
      <c r="K8" s="19" t="s">
        <v>142</v>
      </c>
      <c r="L8" s="20" t="n">
        <v>0</v>
      </c>
      <c r="M8" s="20" t="n">
        <v>0</v>
      </c>
      <c r="N8" s="20" t="n">
        <v>0</v>
      </c>
      <c r="O8" s="20" t="n">
        <v>3</v>
      </c>
      <c r="P8" s="19" t="s">
        <v>137</v>
      </c>
      <c r="Q8" s="18" t="n">
        <v>-0.2</v>
      </c>
      <c r="R8" s="18" t="n">
        <v>0.5</v>
      </c>
      <c r="S8" s="21" t="s">
        <v>149</v>
      </c>
      <c r="T8" s="22"/>
    </row>
    <row r="9" customFormat="false" ht="18" hidden="false" customHeight="true" outlineLevel="0" collapsed="false">
      <c r="A9" s="15" t="s">
        <v>150</v>
      </c>
      <c r="B9" s="23" t="s">
        <v>135</v>
      </c>
      <c r="C9" s="17" t="n">
        <v>0.15</v>
      </c>
      <c r="D9" s="17" t="n">
        <v>0.2</v>
      </c>
      <c r="E9" s="17" t="n">
        <v>-0.4</v>
      </c>
      <c r="F9" s="17" t="n">
        <v>1</v>
      </c>
      <c r="G9" s="17" t="n">
        <v>0</v>
      </c>
      <c r="H9" s="17" t="n">
        <v>0.02</v>
      </c>
      <c r="I9" s="17" t="n">
        <v>0.2</v>
      </c>
      <c r="J9" s="18" t="n">
        <v>0</v>
      </c>
      <c r="K9" s="19" t="s">
        <v>151</v>
      </c>
      <c r="L9" s="20" t="n">
        <v>1</v>
      </c>
      <c r="M9" s="20" t="n">
        <v>0</v>
      </c>
      <c r="N9" s="20" t="n">
        <v>0</v>
      </c>
      <c r="O9" s="20" t="n">
        <v>5</v>
      </c>
      <c r="P9" s="19" t="s">
        <v>137</v>
      </c>
      <c r="Q9" s="18" t="n">
        <v>-0.25</v>
      </c>
      <c r="R9" s="18" t="n">
        <v>0.55</v>
      </c>
      <c r="S9" s="24" t="s">
        <v>152</v>
      </c>
      <c r="T9" s="22"/>
    </row>
    <row r="10" customFormat="false" ht="18" hidden="false" customHeight="true" outlineLevel="0" collapsed="false">
      <c r="A10" s="15" t="s">
        <v>153</v>
      </c>
      <c r="B10" s="16" t="s">
        <v>145</v>
      </c>
      <c r="C10" s="17" t="n">
        <v>0.09</v>
      </c>
      <c r="D10" s="17" t="n">
        <v>0.1</v>
      </c>
      <c r="E10" s="17" t="n">
        <v>-0.1</v>
      </c>
      <c r="F10" s="17" t="n">
        <v>0.3</v>
      </c>
      <c r="G10" s="17" t="n">
        <v>0.02</v>
      </c>
      <c r="H10" s="17" t="n">
        <v>0.015</v>
      </c>
      <c r="I10" s="17" t="n">
        <v>0.1</v>
      </c>
      <c r="J10" s="18" t="n">
        <v>0</v>
      </c>
      <c r="K10" s="19" t="s">
        <v>151</v>
      </c>
      <c r="L10" s="20" t="n">
        <v>1</v>
      </c>
      <c r="M10" s="20" t="n">
        <v>0</v>
      </c>
      <c r="N10" s="20" t="n">
        <v>0</v>
      </c>
      <c r="O10" s="20" t="n">
        <v>3</v>
      </c>
      <c r="P10" s="19" t="s">
        <v>146</v>
      </c>
      <c r="Q10" s="18" t="n">
        <v>-0.15</v>
      </c>
      <c r="R10" s="18" t="n">
        <v>0.35</v>
      </c>
      <c r="S10" s="21" t="s">
        <v>154</v>
      </c>
      <c r="T10" s="25" t="s">
        <v>145</v>
      </c>
    </row>
    <row r="11" customFormat="false" ht="18" hidden="false" customHeight="true" outlineLevel="0" collapsed="false">
      <c r="A11" s="15" t="s">
        <v>155</v>
      </c>
      <c r="B11" s="23" t="s">
        <v>156</v>
      </c>
      <c r="C11" s="17" t="n">
        <v>0.17</v>
      </c>
      <c r="D11" s="17" t="n">
        <v>0.35</v>
      </c>
      <c r="E11" s="17" t="n">
        <v>-0.8</v>
      </c>
      <c r="F11" s="17" t="n">
        <v>3</v>
      </c>
      <c r="G11" s="17" t="n">
        <v>0</v>
      </c>
      <c r="H11" s="17" t="n">
        <v>0.02</v>
      </c>
      <c r="I11" s="17" t="n">
        <v>0.2</v>
      </c>
      <c r="J11" s="18" t="n">
        <v>0</v>
      </c>
      <c r="K11" s="19" t="s">
        <v>157</v>
      </c>
      <c r="L11" s="20" t="n">
        <v>7</v>
      </c>
      <c r="M11" s="20" t="n">
        <v>3</v>
      </c>
      <c r="N11" s="20" t="n">
        <v>4</v>
      </c>
      <c r="O11" s="20" t="n">
        <v>10</v>
      </c>
      <c r="P11" s="19" t="s">
        <v>158</v>
      </c>
      <c r="Q11" s="18" t="n">
        <v>-0.5</v>
      </c>
      <c r="R11" s="18" t="n">
        <v>0.75</v>
      </c>
      <c r="S11" s="24" t="s">
        <v>159</v>
      </c>
      <c r="T11" s="26" t="s">
        <v>156</v>
      </c>
    </row>
    <row r="12" customFormat="false" ht="18" hidden="false" customHeight="true" outlineLevel="0" collapsed="false">
      <c r="A12" s="15" t="s">
        <v>160</v>
      </c>
      <c r="B12" s="16" t="s">
        <v>156</v>
      </c>
      <c r="C12" s="17" t="n">
        <v>0.16</v>
      </c>
      <c r="D12" s="17" t="n">
        <v>0.25</v>
      </c>
      <c r="E12" s="17" t="n">
        <v>-0.6</v>
      </c>
      <c r="F12" s="17" t="n">
        <v>2</v>
      </c>
      <c r="G12" s="17" t="n">
        <v>0</v>
      </c>
      <c r="H12" s="17" t="n">
        <v>0.02</v>
      </c>
      <c r="I12" s="17" t="n">
        <v>0.2</v>
      </c>
      <c r="J12" s="18" t="n">
        <v>0</v>
      </c>
      <c r="K12" s="19" t="s">
        <v>157</v>
      </c>
      <c r="L12" s="20" t="n">
        <v>7</v>
      </c>
      <c r="M12" s="20" t="n">
        <v>3</v>
      </c>
      <c r="N12" s="20" t="n">
        <v>4</v>
      </c>
      <c r="O12" s="20" t="n">
        <v>8</v>
      </c>
      <c r="P12" s="19" t="s">
        <v>158</v>
      </c>
      <c r="Q12" s="18" t="n">
        <v>-0.3</v>
      </c>
      <c r="R12" s="18" t="n">
        <v>0.55</v>
      </c>
      <c r="S12" s="21" t="s">
        <v>161</v>
      </c>
      <c r="T12" s="26"/>
    </row>
    <row r="13" customFormat="false" ht="18" hidden="false" customHeight="true" outlineLevel="0" collapsed="false">
      <c r="A13" s="15" t="s">
        <v>162</v>
      </c>
      <c r="B13" s="23" t="s">
        <v>163</v>
      </c>
      <c r="C13" s="18" t="n">
        <v>0.07</v>
      </c>
      <c r="D13" s="17" t="n">
        <v>0.15</v>
      </c>
      <c r="E13" s="17" t="n">
        <v>0.1</v>
      </c>
      <c r="F13" s="17" t="n">
        <v>0.5</v>
      </c>
      <c r="G13" s="17" t="n">
        <v>0</v>
      </c>
      <c r="H13" s="17" t="n">
        <v>0.003</v>
      </c>
      <c r="I13" s="17" t="n">
        <v>0</v>
      </c>
      <c r="J13" s="18" t="n">
        <v>0</v>
      </c>
      <c r="K13" s="19" t="s">
        <v>136</v>
      </c>
      <c r="L13" s="20" t="n">
        <v>0</v>
      </c>
      <c r="M13" s="20" t="n">
        <v>0</v>
      </c>
      <c r="N13" s="20" t="n">
        <v>0</v>
      </c>
      <c r="O13" s="20" t="n">
        <v>3</v>
      </c>
      <c r="P13" s="19" t="s">
        <v>137</v>
      </c>
      <c r="Q13" s="18" t="n">
        <v>-0.25</v>
      </c>
      <c r="R13" s="18" t="n">
        <v>0.5</v>
      </c>
      <c r="S13" s="24" t="s">
        <v>164</v>
      </c>
      <c r="T13" s="27" t="s">
        <v>163</v>
      </c>
    </row>
    <row r="14" customFormat="false" ht="18" hidden="false" customHeight="true" outlineLevel="0" collapsed="false">
      <c r="A14" s="15" t="s">
        <v>165</v>
      </c>
      <c r="B14" s="16" t="s">
        <v>166</v>
      </c>
      <c r="C14" s="17" t="n">
        <v>0.07</v>
      </c>
      <c r="D14" s="17" t="n">
        <v>0.06</v>
      </c>
      <c r="E14" s="17" t="n">
        <v>0</v>
      </c>
      <c r="F14" s="17" t="n">
        <v>0.1</v>
      </c>
      <c r="G14" s="17" t="n">
        <v>0.068</v>
      </c>
      <c r="H14" s="17" t="n">
        <v>0</v>
      </c>
      <c r="I14" s="17" t="n">
        <v>0</v>
      </c>
      <c r="J14" s="18" t="n">
        <v>0</v>
      </c>
      <c r="K14" s="19" t="s">
        <v>167</v>
      </c>
      <c r="L14" s="20" t="n">
        <v>0</v>
      </c>
      <c r="M14" s="20" t="n">
        <v>0</v>
      </c>
      <c r="N14" s="20" t="n">
        <v>0</v>
      </c>
      <c r="O14" s="20" t="n">
        <v>3</v>
      </c>
      <c r="P14" s="19" t="s">
        <v>146</v>
      </c>
      <c r="Q14" s="18" t="n">
        <v>-0.05</v>
      </c>
      <c r="R14" s="18" t="n">
        <v>0.15</v>
      </c>
      <c r="S14" s="21" t="s">
        <v>168</v>
      </c>
      <c r="T14" s="28" t="s">
        <v>166</v>
      </c>
    </row>
    <row r="15" customFormat="false" ht="18" hidden="false" customHeight="true" outlineLevel="0" collapsed="false">
      <c r="A15" s="15" t="s">
        <v>169</v>
      </c>
      <c r="B15" s="23" t="s">
        <v>166</v>
      </c>
      <c r="C15" s="17" t="n">
        <v>0.075</v>
      </c>
      <c r="D15" s="17" t="n">
        <v>0.05</v>
      </c>
      <c r="E15" s="17" t="n">
        <v>-0.2</v>
      </c>
      <c r="F15" s="17" t="n">
        <v>0.5</v>
      </c>
      <c r="G15" s="17" t="n">
        <v>0.075</v>
      </c>
      <c r="H15" s="17" t="n">
        <v>0</v>
      </c>
      <c r="I15" s="17" t="n">
        <v>0</v>
      </c>
      <c r="J15" s="18" t="n">
        <v>0</v>
      </c>
      <c r="K15" s="19" t="s">
        <v>170</v>
      </c>
      <c r="L15" s="20" t="n">
        <v>1</v>
      </c>
      <c r="M15" s="20" t="n">
        <v>0</v>
      </c>
      <c r="N15" s="20" t="n">
        <v>0</v>
      </c>
      <c r="O15" s="20" t="n">
        <v>3</v>
      </c>
      <c r="P15" s="19" t="s">
        <v>146</v>
      </c>
      <c r="Q15" s="18" t="n">
        <v>-0.05</v>
      </c>
      <c r="R15" s="18" t="n">
        <v>0.2</v>
      </c>
      <c r="S15" s="24" t="s">
        <v>171</v>
      </c>
      <c r="T15" s="28"/>
    </row>
    <row r="16" customFormat="false" ht="18" hidden="false" customHeight="true" outlineLevel="0" collapsed="false">
      <c r="A16" s="15" t="s">
        <v>172</v>
      </c>
      <c r="B16" s="16" t="s">
        <v>173</v>
      </c>
      <c r="C16" s="17" t="n">
        <v>0.095</v>
      </c>
      <c r="D16" s="17" t="n">
        <v>0.08</v>
      </c>
      <c r="E16" s="17" t="n">
        <v>-0.5</v>
      </c>
      <c r="F16" s="17" t="n">
        <v>1.5</v>
      </c>
      <c r="G16" s="17" t="n">
        <v>0.095</v>
      </c>
      <c r="H16" s="17" t="n">
        <v>0.01</v>
      </c>
      <c r="I16" s="17" t="n">
        <v>0</v>
      </c>
      <c r="J16" s="18" t="n">
        <v>0</v>
      </c>
      <c r="K16" s="19" t="s">
        <v>157</v>
      </c>
      <c r="L16" s="20" t="n">
        <v>2</v>
      </c>
      <c r="M16" s="20" t="n">
        <v>0</v>
      </c>
      <c r="N16" s="20" t="n">
        <v>2</v>
      </c>
      <c r="O16" s="20" t="n">
        <v>3</v>
      </c>
      <c r="P16" s="19" t="s">
        <v>158</v>
      </c>
      <c r="Q16" s="18" t="n">
        <v>-0.2</v>
      </c>
      <c r="R16" s="18" t="n">
        <v>0.4</v>
      </c>
      <c r="S16" s="21" t="s">
        <v>174</v>
      </c>
      <c r="T16" s="29" t="s">
        <v>173</v>
      </c>
    </row>
    <row r="17" customFormat="false" ht="18" hidden="false" customHeight="true" outlineLevel="0" collapsed="false">
      <c r="A17" s="15" t="s">
        <v>175</v>
      </c>
      <c r="B17" s="23" t="s">
        <v>173</v>
      </c>
      <c r="C17" s="17" t="n">
        <v>0.125</v>
      </c>
      <c r="D17" s="17" t="n">
        <v>0.09</v>
      </c>
      <c r="E17" s="17" t="n">
        <v>-0.4</v>
      </c>
      <c r="F17" s="17" t="n">
        <v>1</v>
      </c>
      <c r="G17" s="17" t="n">
        <v>0.1</v>
      </c>
      <c r="H17" s="17" t="n">
        <v>0.015</v>
      </c>
      <c r="I17" s="17" t="n">
        <v>0.1</v>
      </c>
      <c r="J17" s="18" t="n">
        <v>0</v>
      </c>
      <c r="K17" s="19" t="s">
        <v>170</v>
      </c>
      <c r="L17" s="20" t="n">
        <v>3</v>
      </c>
      <c r="M17" s="20" t="n">
        <v>1</v>
      </c>
      <c r="N17" s="20" t="n">
        <v>2</v>
      </c>
      <c r="O17" s="20" t="n">
        <v>5</v>
      </c>
      <c r="P17" s="19" t="s">
        <v>158</v>
      </c>
      <c r="Q17" s="18" t="n">
        <v>-0.05</v>
      </c>
      <c r="R17" s="18" t="n">
        <v>0.3</v>
      </c>
      <c r="S17" s="24" t="s">
        <v>176</v>
      </c>
      <c r="T17" s="29"/>
    </row>
    <row r="18" customFormat="false" ht="18" hidden="false" customHeight="true" outlineLevel="0" collapsed="false">
      <c r="A18" s="15" t="s">
        <v>177</v>
      </c>
      <c r="B18" s="16" t="s">
        <v>173</v>
      </c>
      <c r="C18" s="18" t="n">
        <v>0.14</v>
      </c>
      <c r="D18" s="17" t="n">
        <v>0.12</v>
      </c>
      <c r="E18" s="17" t="n">
        <v>-0.3</v>
      </c>
      <c r="F18" s="17" t="n">
        <v>0.8</v>
      </c>
      <c r="G18" s="17" t="n">
        <v>0.05</v>
      </c>
      <c r="H18" s="17" t="n">
        <v>0.015</v>
      </c>
      <c r="I18" s="17" t="n">
        <v>0.15</v>
      </c>
      <c r="J18" s="18" t="n">
        <v>0</v>
      </c>
      <c r="K18" s="19" t="s">
        <v>157</v>
      </c>
      <c r="L18" s="20" t="n">
        <v>5</v>
      </c>
      <c r="M18" s="20" t="n">
        <v>2</v>
      </c>
      <c r="N18" s="20" t="n">
        <v>3</v>
      </c>
      <c r="O18" s="20" t="n">
        <v>7</v>
      </c>
      <c r="P18" s="19" t="s">
        <v>158</v>
      </c>
      <c r="Q18" s="18" t="n">
        <v>-0.15</v>
      </c>
      <c r="R18" s="18" t="n">
        <v>0.45</v>
      </c>
      <c r="S18" s="21" t="s">
        <v>178</v>
      </c>
      <c r="T18" s="29"/>
    </row>
    <row r="19" customFormat="false" ht="18" hidden="false" customHeight="true" outlineLevel="0" collapsed="false">
      <c r="A19" s="15" t="s">
        <v>179</v>
      </c>
      <c r="B19" s="23" t="s">
        <v>173</v>
      </c>
      <c r="C19" s="17" t="n">
        <v>0.16</v>
      </c>
      <c r="D19" s="17" t="n">
        <v>0.22</v>
      </c>
      <c r="E19" s="17" t="n">
        <v>-0.7</v>
      </c>
      <c r="F19" s="17" t="n">
        <v>2.5</v>
      </c>
      <c r="G19" s="17" t="n">
        <v>0</v>
      </c>
      <c r="H19" s="17" t="n">
        <v>0.02</v>
      </c>
      <c r="I19" s="17" t="n">
        <v>0.2</v>
      </c>
      <c r="J19" s="18" t="n">
        <v>0</v>
      </c>
      <c r="K19" s="19" t="s">
        <v>157</v>
      </c>
      <c r="L19" s="20" t="n">
        <v>5</v>
      </c>
      <c r="M19" s="20" t="n">
        <v>2</v>
      </c>
      <c r="N19" s="20" t="n">
        <v>3</v>
      </c>
      <c r="O19" s="20" t="n">
        <v>7</v>
      </c>
      <c r="P19" s="19" t="s">
        <v>158</v>
      </c>
      <c r="Q19" s="18" t="n">
        <v>-0.4</v>
      </c>
      <c r="R19" s="18" t="n">
        <v>0.65</v>
      </c>
      <c r="S19" s="24" t="s">
        <v>180</v>
      </c>
      <c r="T19" s="29"/>
    </row>
    <row r="20" customFormat="false" ht="18" hidden="false" customHeight="true" outlineLevel="0" collapsed="false">
      <c r="A20" s="15" t="s">
        <v>181</v>
      </c>
      <c r="B20" s="16" t="s">
        <v>173</v>
      </c>
      <c r="C20" s="17" t="n">
        <v>0.14</v>
      </c>
      <c r="D20" s="17" t="n">
        <v>0.1</v>
      </c>
      <c r="E20" s="17" t="n">
        <v>-0.2</v>
      </c>
      <c r="F20" s="17" t="n">
        <v>0.4</v>
      </c>
      <c r="G20" s="17" t="n">
        <v>0.07</v>
      </c>
      <c r="H20" s="17" t="n">
        <v>0.015</v>
      </c>
      <c r="I20" s="17" t="n">
        <v>0.1</v>
      </c>
      <c r="J20" s="18" t="n">
        <v>0</v>
      </c>
      <c r="K20" s="19" t="s">
        <v>157</v>
      </c>
      <c r="L20" s="20" t="n">
        <v>8</v>
      </c>
      <c r="M20" s="20" t="n">
        <v>3</v>
      </c>
      <c r="N20" s="20" t="n">
        <v>5</v>
      </c>
      <c r="O20" s="20" t="n">
        <v>10</v>
      </c>
      <c r="P20" s="19" t="s">
        <v>146</v>
      </c>
      <c r="Q20" s="18" t="n">
        <v>0.05</v>
      </c>
      <c r="R20" s="18" t="n">
        <v>0.3</v>
      </c>
      <c r="S20" s="21" t="s">
        <v>182</v>
      </c>
      <c r="T20" s="29"/>
    </row>
    <row r="21" customFormat="false" ht="18" hidden="false" customHeight="true" outlineLevel="0" collapsed="false">
      <c r="A21" s="15" t="s">
        <v>60</v>
      </c>
      <c r="B21" s="23" t="s">
        <v>183</v>
      </c>
      <c r="C21" s="17" t="n">
        <v>0.11</v>
      </c>
      <c r="D21" s="17" t="n">
        <v>0.12</v>
      </c>
      <c r="E21" s="17" t="n">
        <v>-0.2</v>
      </c>
      <c r="F21" s="17" t="n">
        <v>0.5</v>
      </c>
      <c r="G21" s="17" t="n">
        <v>0.09</v>
      </c>
      <c r="H21" s="17" t="n">
        <v>0.01</v>
      </c>
      <c r="I21" s="17" t="n">
        <v>0</v>
      </c>
      <c r="J21" s="18" t="n">
        <v>0</v>
      </c>
      <c r="K21" s="19" t="s">
        <v>167</v>
      </c>
      <c r="L21" s="20" t="n">
        <v>0</v>
      </c>
      <c r="M21" s="20" t="n">
        <v>0</v>
      </c>
      <c r="N21" s="20" t="n">
        <v>0</v>
      </c>
      <c r="O21" s="20" t="n">
        <v>5</v>
      </c>
      <c r="P21" s="19" t="s">
        <v>137</v>
      </c>
      <c r="Q21" s="18" t="n">
        <v>-0.1</v>
      </c>
      <c r="R21" s="18" t="n">
        <v>0.3</v>
      </c>
      <c r="S21" s="24" t="s">
        <v>184</v>
      </c>
      <c r="T21" s="30" t="s">
        <v>183</v>
      </c>
    </row>
  </sheetData>
  <mergeCells count="6">
    <mergeCell ref="A1:T1"/>
    <mergeCell ref="A2:T2"/>
    <mergeCell ref="T4:T9"/>
    <mergeCell ref="T11:T12"/>
    <mergeCell ref="T14:T15"/>
    <mergeCell ref="T16:T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 width="28"/>
    <col collapsed="false" customWidth="true" hidden="false" outlineLevel="0" max="19" min="2" style="11" width="7"/>
  </cols>
  <sheetData>
    <row r="1" customFormat="false" ht="27.75" hidden="false" customHeight="true" outlineLevel="0" collapsed="false">
      <c r="A1" s="31" t="s">
        <v>185</v>
      </c>
      <c r="B1" s="31"/>
      <c r="C1" s="31"/>
      <c r="D1" s="31"/>
      <c r="E1" s="31"/>
      <c r="F1" s="31"/>
      <c r="G1" s="31"/>
      <c r="H1" s="31"/>
      <c r="I1" s="31"/>
      <c r="J1" s="31"/>
      <c r="K1" s="31"/>
      <c r="L1" s="31"/>
      <c r="M1" s="31"/>
      <c r="N1" s="31"/>
      <c r="O1" s="31"/>
      <c r="P1" s="31"/>
      <c r="Q1" s="31"/>
      <c r="R1" s="31"/>
      <c r="S1" s="31"/>
    </row>
    <row r="2" customFormat="false" ht="90" hidden="false" customHeight="true" outlineLevel="0" collapsed="false">
      <c r="B2" s="32" t="s">
        <v>134</v>
      </c>
      <c r="C2" s="32" t="s">
        <v>139</v>
      </c>
      <c r="D2" s="32" t="s">
        <v>141</v>
      </c>
      <c r="E2" s="32" t="s">
        <v>144</v>
      </c>
      <c r="F2" s="32" t="s">
        <v>148</v>
      </c>
      <c r="G2" s="32" t="s">
        <v>150</v>
      </c>
      <c r="H2" s="32" t="s">
        <v>153</v>
      </c>
      <c r="I2" s="32" t="s">
        <v>155</v>
      </c>
      <c r="J2" s="32" t="s">
        <v>160</v>
      </c>
      <c r="K2" s="32" t="s">
        <v>162</v>
      </c>
      <c r="L2" s="32" t="s">
        <v>165</v>
      </c>
      <c r="M2" s="32" t="s">
        <v>169</v>
      </c>
      <c r="N2" s="32" t="s">
        <v>172</v>
      </c>
      <c r="O2" s="32" t="s">
        <v>175</v>
      </c>
      <c r="P2" s="32" t="s">
        <v>177</v>
      </c>
      <c r="Q2" s="32" t="s">
        <v>179</v>
      </c>
      <c r="R2" s="32" t="s">
        <v>181</v>
      </c>
      <c r="S2" s="32" t="s">
        <v>60</v>
      </c>
    </row>
    <row r="3" customFormat="false" ht="15.75" hidden="false" customHeight="true" outlineLevel="0" collapsed="false">
      <c r="A3" s="33" t="s">
        <v>134</v>
      </c>
      <c r="B3" s="34" t="n">
        <v>1</v>
      </c>
      <c r="C3" s="35" t="n">
        <v>0.89</v>
      </c>
      <c r="D3" s="35" t="n">
        <v>0.95</v>
      </c>
      <c r="E3" s="36" t="n">
        <v>0.45</v>
      </c>
      <c r="F3" s="35" t="n">
        <v>0.92</v>
      </c>
      <c r="G3" s="35" t="n">
        <v>0.95</v>
      </c>
      <c r="H3" s="36" t="n">
        <v>0.45</v>
      </c>
      <c r="I3" s="37" t="n">
        <v>0.55</v>
      </c>
      <c r="J3" s="37" t="n">
        <v>0.55</v>
      </c>
      <c r="K3" s="38" t="n">
        <v>0.05</v>
      </c>
      <c r="L3" s="39" t="n">
        <v>-0.2</v>
      </c>
      <c r="M3" s="39" t="n">
        <v>-0.2</v>
      </c>
      <c r="N3" s="36" t="n">
        <v>0.35</v>
      </c>
      <c r="O3" s="36" t="n">
        <v>0.35</v>
      </c>
      <c r="P3" s="36" t="n">
        <v>0.35</v>
      </c>
      <c r="Q3" s="36" t="n">
        <v>0.35</v>
      </c>
      <c r="R3" s="36" t="n">
        <v>0.35</v>
      </c>
      <c r="S3" s="36" t="n">
        <v>0.3</v>
      </c>
    </row>
    <row r="4" customFormat="false" ht="15.75" hidden="false" customHeight="true" outlineLevel="0" collapsed="false">
      <c r="A4" s="33" t="s">
        <v>139</v>
      </c>
      <c r="B4" s="40" t="n">
        <f aca="false">C3</f>
        <v>0.89</v>
      </c>
      <c r="C4" s="34" t="n">
        <v>1</v>
      </c>
      <c r="D4" s="35" t="n">
        <v>0.89</v>
      </c>
      <c r="E4" s="36" t="n">
        <v>0.45</v>
      </c>
      <c r="F4" s="35" t="n">
        <v>0.95</v>
      </c>
      <c r="G4" s="35" t="n">
        <v>0.95</v>
      </c>
      <c r="H4" s="36" t="n">
        <v>0.45</v>
      </c>
      <c r="I4" s="37" t="n">
        <v>0.55</v>
      </c>
      <c r="J4" s="37" t="n">
        <v>0.55</v>
      </c>
      <c r="K4" s="38" t="n">
        <v>0.05</v>
      </c>
      <c r="L4" s="39" t="n">
        <v>-0.2</v>
      </c>
      <c r="M4" s="39" t="n">
        <v>-0.2</v>
      </c>
      <c r="N4" s="36" t="n">
        <v>0.35</v>
      </c>
      <c r="O4" s="36" t="n">
        <v>0.35</v>
      </c>
      <c r="P4" s="36" t="n">
        <v>0.35</v>
      </c>
      <c r="Q4" s="36" t="n">
        <v>0.35</v>
      </c>
      <c r="R4" s="36" t="n">
        <v>0.35</v>
      </c>
      <c r="S4" s="36" t="n">
        <v>0.3</v>
      </c>
    </row>
    <row r="5" customFormat="false" ht="15.75" hidden="false" customHeight="true" outlineLevel="0" collapsed="false">
      <c r="A5" s="33" t="s">
        <v>141</v>
      </c>
      <c r="B5" s="40" t="n">
        <f aca="false">D3</f>
        <v>0.95</v>
      </c>
      <c r="C5" s="40" t="n">
        <f aca="false">D4</f>
        <v>0.89</v>
      </c>
      <c r="D5" s="34" t="n">
        <v>1</v>
      </c>
      <c r="E5" s="36" t="n">
        <v>0.45</v>
      </c>
      <c r="F5" s="35" t="n">
        <v>0.95</v>
      </c>
      <c r="G5" s="35" t="n">
        <v>0.95</v>
      </c>
      <c r="H5" s="36" t="n">
        <v>0.45</v>
      </c>
      <c r="I5" s="37" t="n">
        <v>0.55</v>
      </c>
      <c r="J5" s="37" t="n">
        <v>0.55</v>
      </c>
      <c r="K5" s="38" t="n">
        <v>0.05</v>
      </c>
      <c r="L5" s="39" t="n">
        <v>-0.2</v>
      </c>
      <c r="M5" s="39" t="n">
        <v>-0.2</v>
      </c>
      <c r="N5" s="36" t="n">
        <v>0.35</v>
      </c>
      <c r="O5" s="36" t="n">
        <v>0.35</v>
      </c>
      <c r="P5" s="36" t="n">
        <v>0.35</v>
      </c>
      <c r="Q5" s="36" t="n">
        <v>0.35</v>
      </c>
      <c r="R5" s="36" t="n">
        <v>0.35</v>
      </c>
      <c r="S5" s="36" t="n">
        <v>0.3</v>
      </c>
    </row>
    <row r="6" customFormat="false" ht="15.75" hidden="false" customHeight="true" outlineLevel="0" collapsed="false">
      <c r="A6" s="33" t="s">
        <v>144</v>
      </c>
      <c r="B6" s="40" t="n">
        <f aca="false">E3</f>
        <v>0.45</v>
      </c>
      <c r="C6" s="40" t="n">
        <f aca="false">E4</f>
        <v>0.45</v>
      </c>
      <c r="D6" s="40" t="n">
        <f aca="false">E5</f>
        <v>0.45</v>
      </c>
      <c r="E6" s="34" t="n">
        <v>1</v>
      </c>
      <c r="F6" s="36" t="n">
        <v>0.45</v>
      </c>
      <c r="G6" s="36" t="n">
        <v>0.45</v>
      </c>
      <c r="H6" s="35" t="n">
        <v>0.95</v>
      </c>
      <c r="I6" s="36" t="n">
        <v>0.4</v>
      </c>
      <c r="J6" s="36" t="n">
        <v>0.4</v>
      </c>
      <c r="K6" s="41" t="n">
        <v>0.1</v>
      </c>
      <c r="L6" s="41" t="n">
        <v>0.2</v>
      </c>
      <c r="M6" s="41" t="n">
        <v>0.2</v>
      </c>
      <c r="N6" s="36" t="n">
        <v>0.3</v>
      </c>
      <c r="O6" s="36" t="n">
        <v>0.3</v>
      </c>
      <c r="P6" s="36" t="n">
        <v>0.3</v>
      </c>
      <c r="Q6" s="36" t="n">
        <v>0.3</v>
      </c>
      <c r="R6" s="36" t="n">
        <v>0.3</v>
      </c>
      <c r="S6" s="41" t="n">
        <v>0.25</v>
      </c>
    </row>
    <row r="7" customFormat="false" ht="15.75" hidden="false" customHeight="true" outlineLevel="0" collapsed="false">
      <c r="A7" s="33" t="s">
        <v>148</v>
      </c>
      <c r="B7" s="40" t="n">
        <f aca="false">F3</f>
        <v>0.92</v>
      </c>
      <c r="C7" s="40" t="n">
        <f aca="false">F4</f>
        <v>0.95</v>
      </c>
      <c r="D7" s="40" t="n">
        <f aca="false">F5</f>
        <v>0.95</v>
      </c>
      <c r="E7" s="40" t="n">
        <f aca="false">F6</f>
        <v>0.45</v>
      </c>
      <c r="F7" s="34" t="n">
        <v>1</v>
      </c>
      <c r="G7" s="35" t="n">
        <v>0.86</v>
      </c>
      <c r="H7" s="36" t="n">
        <v>0.45</v>
      </c>
      <c r="I7" s="37" t="n">
        <v>0.55</v>
      </c>
      <c r="J7" s="37" t="n">
        <v>0.55</v>
      </c>
      <c r="K7" s="38" t="n">
        <v>0.05</v>
      </c>
      <c r="L7" s="39" t="n">
        <v>-0.2</v>
      </c>
      <c r="M7" s="39" t="n">
        <v>-0.2</v>
      </c>
      <c r="N7" s="36" t="n">
        <v>0.35</v>
      </c>
      <c r="O7" s="36" t="n">
        <v>0.35</v>
      </c>
      <c r="P7" s="36" t="n">
        <v>0.35</v>
      </c>
      <c r="Q7" s="36" t="n">
        <v>0.35</v>
      </c>
      <c r="R7" s="36" t="n">
        <v>0.35</v>
      </c>
      <c r="S7" s="36" t="n">
        <v>0.3</v>
      </c>
    </row>
    <row r="8" customFormat="false" ht="15.75" hidden="false" customHeight="true" outlineLevel="0" collapsed="false">
      <c r="A8" s="33" t="s">
        <v>150</v>
      </c>
      <c r="B8" s="40" t="n">
        <f aca="false">G3</f>
        <v>0.95</v>
      </c>
      <c r="C8" s="40" t="n">
        <f aca="false">G4</f>
        <v>0.95</v>
      </c>
      <c r="D8" s="40" t="n">
        <f aca="false">G5</f>
        <v>0.95</v>
      </c>
      <c r="E8" s="40" t="n">
        <f aca="false">G6</f>
        <v>0.45</v>
      </c>
      <c r="F8" s="40" t="n">
        <f aca="false">G7</f>
        <v>0.86</v>
      </c>
      <c r="G8" s="34" t="n">
        <v>1</v>
      </c>
      <c r="H8" s="36" t="n">
        <v>0.45</v>
      </c>
      <c r="I8" s="37" t="n">
        <v>0.55</v>
      </c>
      <c r="J8" s="37" t="n">
        <v>0.55</v>
      </c>
      <c r="K8" s="38" t="n">
        <v>0.05</v>
      </c>
      <c r="L8" s="39" t="n">
        <v>-0.2</v>
      </c>
      <c r="M8" s="39" t="n">
        <v>-0.2</v>
      </c>
      <c r="N8" s="36" t="n">
        <v>0.35</v>
      </c>
      <c r="O8" s="36" t="n">
        <v>0.35</v>
      </c>
      <c r="P8" s="36" t="n">
        <v>0.35</v>
      </c>
      <c r="Q8" s="36" t="n">
        <v>0.35</v>
      </c>
      <c r="R8" s="36" t="n">
        <v>0.35</v>
      </c>
      <c r="S8" s="36" t="n">
        <v>0.3</v>
      </c>
    </row>
    <row r="9" customFormat="false" ht="15.75" hidden="false" customHeight="true" outlineLevel="0" collapsed="false">
      <c r="A9" s="33" t="s">
        <v>153</v>
      </c>
      <c r="B9" s="40" t="n">
        <f aca="false">H3</f>
        <v>0.45</v>
      </c>
      <c r="C9" s="40" t="n">
        <f aca="false">H4</f>
        <v>0.45</v>
      </c>
      <c r="D9" s="40" t="n">
        <f aca="false">H5</f>
        <v>0.45</v>
      </c>
      <c r="E9" s="40" t="n">
        <f aca="false">H6</f>
        <v>0.95</v>
      </c>
      <c r="F9" s="40" t="n">
        <f aca="false">H7</f>
        <v>0.45</v>
      </c>
      <c r="G9" s="40" t="n">
        <f aca="false">H8</f>
        <v>0.45</v>
      </c>
      <c r="H9" s="34" t="n">
        <v>1</v>
      </c>
      <c r="I9" s="36" t="n">
        <v>0.4</v>
      </c>
      <c r="J9" s="36" t="n">
        <v>0.4</v>
      </c>
      <c r="K9" s="41" t="n">
        <v>0.1</v>
      </c>
      <c r="L9" s="41" t="n">
        <v>0.2</v>
      </c>
      <c r="M9" s="41" t="n">
        <v>0.2</v>
      </c>
      <c r="N9" s="36" t="n">
        <v>0.3</v>
      </c>
      <c r="O9" s="36" t="n">
        <v>0.3</v>
      </c>
      <c r="P9" s="36" t="n">
        <v>0.3</v>
      </c>
      <c r="Q9" s="36" t="n">
        <v>0.3</v>
      </c>
      <c r="R9" s="36" t="n">
        <v>0.3</v>
      </c>
      <c r="S9" s="41" t="n">
        <v>0.25</v>
      </c>
    </row>
    <row r="10" customFormat="false" ht="15.75" hidden="false" customHeight="true" outlineLevel="0" collapsed="false">
      <c r="A10" s="33" t="s">
        <v>155</v>
      </c>
      <c r="B10" s="40" t="n">
        <f aca="false">I3</f>
        <v>0.55</v>
      </c>
      <c r="C10" s="40" t="n">
        <f aca="false">I4</f>
        <v>0.55</v>
      </c>
      <c r="D10" s="40" t="n">
        <f aca="false">I5</f>
        <v>0.55</v>
      </c>
      <c r="E10" s="40" t="n">
        <f aca="false">I6</f>
        <v>0.4</v>
      </c>
      <c r="F10" s="40" t="n">
        <f aca="false">I7</f>
        <v>0.55</v>
      </c>
      <c r="G10" s="40" t="n">
        <f aca="false">I8</f>
        <v>0.55</v>
      </c>
      <c r="H10" s="40" t="n">
        <f aca="false">I9</f>
        <v>0.4</v>
      </c>
      <c r="I10" s="34" t="n">
        <v>1</v>
      </c>
      <c r="J10" s="35" t="n">
        <v>0.89</v>
      </c>
      <c r="K10" s="38" t="n">
        <v>0.05</v>
      </c>
      <c r="L10" s="38" t="n">
        <v>-0.1</v>
      </c>
      <c r="M10" s="38" t="n">
        <v>-0.1</v>
      </c>
      <c r="N10" s="36" t="n">
        <v>0.45</v>
      </c>
      <c r="O10" s="36" t="n">
        <v>0.45</v>
      </c>
      <c r="P10" s="36" t="n">
        <v>0.45</v>
      </c>
      <c r="Q10" s="36" t="n">
        <v>0.45</v>
      </c>
      <c r="R10" s="36" t="n">
        <v>0.45</v>
      </c>
      <c r="S10" s="36" t="n">
        <v>0.4</v>
      </c>
    </row>
    <row r="11" customFormat="false" ht="15.75" hidden="false" customHeight="true" outlineLevel="0" collapsed="false">
      <c r="A11" s="33" t="s">
        <v>160</v>
      </c>
      <c r="B11" s="40" t="n">
        <f aca="false">J3</f>
        <v>0.55</v>
      </c>
      <c r="C11" s="40" t="n">
        <f aca="false">J4</f>
        <v>0.55</v>
      </c>
      <c r="D11" s="40" t="n">
        <f aca="false">J5</f>
        <v>0.55</v>
      </c>
      <c r="E11" s="40" t="n">
        <f aca="false">J6</f>
        <v>0.4</v>
      </c>
      <c r="F11" s="40" t="n">
        <f aca="false">J7</f>
        <v>0.55</v>
      </c>
      <c r="G11" s="40" t="n">
        <f aca="false">J8</f>
        <v>0.55</v>
      </c>
      <c r="H11" s="40" t="n">
        <f aca="false">J9</f>
        <v>0.4</v>
      </c>
      <c r="I11" s="40" t="n">
        <f aca="false">J10</f>
        <v>0.89</v>
      </c>
      <c r="J11" s="34" t="n">
        <v>1</v>
      </c>
      <c r="K11" s="38" t="n">
        <v>0.05</v>
      </c>
      <c r="L11" s="38" t="n">
        <v>-0.1</v>
      </c>
      <c r="M11" s="38" t="n">
        <v>-0.1</v>
      </c>
      <c r="N11" s="36" t="n">
        <v>0.45</v>
      </c>
      <c r="O11" s="36" t="n">
        <v>0.45</v>
      </c>
      <c r="P11" s="36" t="n">
        <v>0.45</v>
      </c>
      <c r="Q11" s="36" t="n">
        <v>0.45</v>
      </c>
      <c r="R11" s="36" t="n">
        <v>0.45</v>
      </c>
      <c r="S11" s="36" t="n">
        <v>0.4</v>
      </c>
    </row>
    <row r="12" customFormat="false" ht="15.75" hidden="false" customHeight="true" outlineLevel="0" collapsed="false">
      <c r="A12" s="33" t="s">
        <v>162</v>
      </c>
      <c r="B12" s="40" t="n">
        <f aca="false">K3</f>
        <v>0.05</v>
      </c>
      <c r="C12" s="40" t="n">
        <f aca="false">K4</f>
        <v>0.05</v>
      </c>
      <c r="D12" s="40" t="n">
        <f aca="false">K5</f>
        <v>0.05</v>
      </c>
      <c r="E12" s="40" t="n">
        <f aca="false">K6</f>
        <v>0.1</v>
      </c>
      <c r="F12" s="40" t="n">
        <f aca="false">K7</f>
        <v>0.05</v>
      </c>
      <c r="G12" s="40" t="n">
        <f aca="false">K8</f>
        <v>0.05</v>
      </c>
      <c r="H12" s="40" t="n">
        <f aca="false">K9</f>
        <v>0.1</v>
      </c>
      <c r="I12" s="40" t="n">
        <f aca="false">K10</f>
        <v>0.05</v>
      </c>
      <c r="J12" s="40" t="n">
        <f aca="false">K11</f>
        <v>0.05</v>
      </c>
      <c r="K12" s="34" t="n">
        <v>1</v>
      </c>
      <c r="L12" s="41" t="n">
        <v>0.1</v>
      </c>
      <c r="M12" s="41" t="n">
        <v>0.1</v>
      </c>
      <c r="N12" s="38" t="n">
        <v>-0.05</v>
      </c>
      <c r="O12" s="38" t="n">
        <v>-0.05</v>
      </c>
      <c r="P12" s="38" t="n">
        <v>-0.05</v>
      </c>
      <c r="Q12" s="38" t="n">
        <v>-0.05</v>
      </c>
      <c r="R12" s="38" t="n">
        <v>-0.05</v>
      </c>
      <c r="S12" s="41" t="n">
        <v>0.15</v>
      </c>
    </row>
    <row r="13" customFormat="false" ht="15.75" hidden="false" customHeight="true" outlineLevel="0" collapsed="false">
      <c r="A13" s="33" t="s">
        <v>165</v>
      </c>
      <c r="B13" s="40" t="n">
        <f aca="false">L3</f>
        <v>-0.2</v>
      </c>
      <c r="C13" s="40" t="n">
        <f aca="false">L4</f>
        <v>-0.2</v>
      </c>
      <c r="D13" s="40" t="n">
        <f aca="false">L5</f>
        <v>-0.2</v>
      </c>
      <c r="E13" s="40" t="n">
        <f aca="false">L6</f>
        <v>0.2</v>
      </c>
      <c r="F13" s="40" t="n">
        <f aca="false">L7</f>
        <v>-0.2</v>
      </c>
      <c r="G13" s="40" t="n">
        <f aca="false">L8</f>
        <v>-0.2</v>
      </c>
      <c r="H13" s="40" t="n">
        <f aca="false">L9</f>
        <v>0.2</v>
      </c>
      <c r="I13" s="40" t="n">
        <f aca="false">L10</f>
        <v>-0.1</v>
      </c>
      <c r="J13" s="40" t="n">
        <f aca="false">L11</f>
        <v>-0.1</v>
      </c>
      <c r="K13" s="40" t="n">
        <f aca="false">L12</f>
        <v>0.1</v>
      </c>
      <c r="L13" s="34" t="n">
        <v>1</v>
      </c>
      <c r="M13" s="35" t="n">
        <v>0.95</v>
      </c>
      <c r="N13" s="36" t="n">
        <v>0.4</v>
      </c>
      <c r="O13" s="36" t="n">
        <v>0.4</v>
      </c>
      <c r="P13" s="36" t="n">
        <v>0.4</v>
      </c>
      <c r="Q13" s="36" t="n">
        <v>0.4</v>
      </c>
      <c r="R13" s="36" t="n">
        <v>0.4</v>
      </c>
      <c r="S13" s="36" t="n">
        <v>0.35</v>
      </c>
    </row>
    <row r="14" customFormat="false" ht="15.75" hidden="false" customHeight="true" outlineLevel="0" collapsed="false">
      <c r="A14" s="33" t="s">
        <v>169</v>
      </c>
      <c r="B14" s="40" t="n">
        <f aca="false">M3</f>
        <v>-0.2</v>
      </c>
      <c r="C14" s="40" t="n">
        <f aca="false">M4</f>
        <v>-0.2</v>
      </c>
      <c r="D14" s="40" t="n">
        <f aca="false">M5</f>
        <v>-0.2</v>
      </c>
      <c r="E14" s="40" t="n">
        <f aca="false">M6</f>
        <v>0.2</v>
      </c>
      <c r="F14" s="40" t="n">
        <f aca="false">M7</f>
        <v>-0.2</v>
      </c>
      <c r="G14" s="40" t="n">
        <f aca="false">M8</f>
        <v>-0.2</v>
      </c>
      <c r="H14" s="40" t="n">
        <f aca="false">M9</f>
        <v>0.2</v>
      </c>
      <c r="I14" s="40" t="n">
        <f aca="false">M10</f>
        <v>-0.1</v>
      </c>
      <c r="J14" s="40" t="n">
        <f aca="false">M11</f>
        <v>-0.1</v>
      </c>
      <c r="K14" s="40" t="n">
        <f aca="false">M12</f>
        <v>0.1</v>
      </c>
      <c r="L14" s="40" t="n">
        <f aca="false">M13</f>
        <v>0.95</v>
      </c>
      <c r="M14" s="34" t="n">
        <v>1</v>
      </c>
      <c r="N14" s="36" t="n">
        <v>0.4</v>
      </c>
      <c r="O14" s="36" t="n">
        <v>0.4</v>
      </c>
      <c r="P14" s="36" t="n">
        <v>0.4</v>
      </c>
      <c r="Q14" s="36" t="n">
        <v>0.4</v>
      </c>
      <c r="R14" s="36" t="n">
        <v>0.4</v>
      </c>
      <c r="S14" s="36" t="n">
        <v>0.35</v>
      </c>
    </row>
    <row r="15" customFormat="false" ht="15.75" hidden="false" customHeight="true" outlineLevel="0" collapsed="false">
      <c r="A15" s="33" t="s">
        <v>172</v>
      </c>
      <c r="B15" s="40" t="n">
        <f aca="false">N3</f>
        <v>0.35</v>
      </c>
      <c r="C15" s="40" t="n">
        <f aca="false">N4</f>
        <v>0.35</v>
      </c>
      <c r="D15" s="40" t="n">
        <f aca="false">N5</f>
        <v>0.35</v>
      </c>
      <c r="E15" s="40" t="n">
        <f aca="false">N6</f>
        <v>0.3</v>
      </c>
      <c r="F15" s="40" t="n">
        <f aca="false">N7</f>
        <v>0.35</v>
      </c>
      <c r="G15" s="40" t="n">
        <f aca="false">N8</f>
        <v>0.35</v>
      </c>
      <c r="H15" s="40" t="n">
        <f aca="false">N9</f>
        <v>0.3</v>
      </c>
      <c r="I15" s="40" t="n">
        <f aca="false">N10</f>
        <v>0.45</v>
      </c>
      <c r="J15" s="40" t="n">
        <f aca="false">N11</f>
        <v>0.45</v>
      </c>
      <c r="K15" s="40" t="n">
        <f aca="false">N12</f>
        <v>-0.05</v>
      </c>
      <c r="L15" s="40" t="n">
        <f aca="false">N13</f>
        <v>0.4</v>
      </c>
      <c r="M15" s="40" t="n">
        <f aca="false">N14</f>
        <v>0.4</v>
      </c>
      <c r="N15" s="34" t="n">
        <v>1</v>
      </c>
      <c r="O15" s="35" t="n">
        <v>0.95</v>
      </c>
      <c r="P15" s="35" t="n">
        <v>0.95</v>
      </c>
      <c r="Q15" s="35" t="n">
        <v>0.95</v>
      </c>
      <c r="R15" s="35" t="n">
        <v>0.95</v>
      </c>
      <c r="S15" s="36" t="n">
        <v>0.45</v>
      </c>
    </row>
    <row r="16" customFormat="false" ht="15.75" hidden="false" customHeight="true" outlineLevel="0" collapsed="false">
      <c r="A16" s="33" t="s">
        <v>175</v>
      </c>
      <c r="B16" s="40" t="n">
        <f aca="false">O3</f>
        <v>0.35</v>
      </c>
      <c r="C16" s="40" t="n">
        <f aca="false">O4</f>
        <v>0.35</v>
      </c>
      <c r="D16" s="40" t="n">
        <f aca="false">O5</f>
        <v>0.35</v>
      </c>
      <c r="E16" s="40" t="n">
        <f aca="false">O6</f>
        <v>0.3</v>
      </c>
      <c r="F16" s="40" t="n">
        <f aca="false">O7</f>
        <v>0.35</v>
      </c>
      <c r="G16" s="40" t="n">
        <f aca="false">O8</f>
        <v>0.35</v>
      </c>
      <c r="H16" s="40" t="n">
        <f aca="false">O9</f>
        <v>0.3</v>
      </c>
      <c r="I16" s="40" t="n">
        <f aca="false">O10</f>
        <v>0.45</v>
      </c>
      <c r="J16" s="40" t="n">
        <f aca="false">O11</f>
        <v>0.45</v>
      </c>
      <c r="K16" s="40" t="n">
        <f aca="false">O12</f>
        <v>-0.05</v>
      </c>
      <c r="L16" s="40" t="n">
        <f aca="false">O13</f>
        <v>0.4</v>
      </c>
      <c r="M16" s="40" t="n">
        <f aca="false">O14</f>
        <v>0.4</v>
      </c>
      <c r="N16" s="40" t="n">
        <f aca="false">O15</f>
        <v>0.95</v>
      </c>
      <c r="O16" s="34" t="n">
        <v>1</v>
      </c>
      <c r="P16" s="35" t="n">
        <v>0.95</v>
      </c>
      <c r="Q16" s="35" t="n">
        <v>0.95</v>
      </c>
      <c r="R16" s="35" t="n">
        <v>0.91</v>
      </c>
      <c r="S16" s="36" t="n">
        <v>0.45</v>
      </c>
    </row>
    <row r="17" customFormat="false" ht="15.75" hidden="false" customHeight="true" outlineLevel="0" collapsed="false">
      <c r="A17" s="33" t="s">
        <v>177</v>
      </c>
      <c r="B17" s="40" t="n">
        <f aca="false">P3</f>
        <v>0.35</v>
      </c>
      <c r="C17" s="40" t="n">
        <f aca="false">P4</f>
        <v>0.35</v>
      </c>
      <c r="D17" s="40" t="n">
        <f aca="false">P5</f>
        <v>0.35</v>
      </c>
      <c r="E17" s="40" t="n">
        <f aca="false">P6</f>
        <v>0.3</v>
      </c>
      <c r="F17" s="40" t="n">
        <f aca="false">P7</f>
        <v>0.35</v>
      </c>
      <c r="G17" s="40" t="n">
        <f aca="false">P8</f>
        <v>0.35</v>
      </c>
      <c r="H17" s="40" t="n">
        <f aca="false">P9</f>
        <v>0.3</v>
      </c>
      <c r="I17" s="40" t="n">
        <f aca="false">P10</f>
        <v>0.45</v>
      </c>
      <c r="J17" s="40" t="n">
        <f aca="false">P11</f>
        <v>0.45</v>
      </c>
      <c r="K17" s="40" t="n">
        <f aca="false">P12</f>
        <v>-0.05</v>
      </c>
      <c r="L17" s="40" t="n">
        <f aca="false">P13</f>
        <v>0.4</v>
      </c>
      <c r="M17" s="40" t="n">
        <f aca="false">P14</f>
        <v>0.4</v>
      </c>
      <c r="N17" s="40" t="n">
        <f aca="false">P15</f>
        <v>0.95</v>
      </c>
      <c r="O17" s="40" t="n">
        <f aca="false">P16</f>
        <v>0.95</v>
      </c>
      <c r="P17" s="34" t="n">
        <v>1</v>
      </c>
      <c r="Q17" s="35" t="n">
        <v>0.95</v>
      </c>
      <c r="R17" s="35" t="n">
        <v>0.88</v>
      </c>
      <c r="S17" s="36" t="n">
        <v>0.45</v>
      </c>
    </row>
    <row r="18" customFormat="false" ht="15.75" hidden="false" customHeight="true" outlineLevel="0" collapsed="false">
      <c r="A18" s="33" t="s">
        <v>179</v>
      </c>
      <c r="B18" s="40" t="n">
        <f aca="false">Q3</f>
        <v>0.35</v>
      </c>
      <c r="C18" s="40" t="n">
        <f aca="false">Q4</f>
        <v>0.35</v>
      </c>
      <c r="D18" s="40" t="n">
        <f aca="false">Q5</f>
        <v>0.35</v>
      </c>
      <c r="E18" s="40" t="n">
        <f aca="false">Q6</f>
        <v>0.3</v>
      </c>
      <c r="F18" s="40" t="n">
        <f aca="false">Q7</f>
        <v>0.35</v>
      </c>
      <c r="G18" s="40" t="n">
        <f aca="false">Q8</f>
        <v>0.35</v>
      </c>
      <c r="H18" s="40" t="n">
        <f aca="false">Q9</f>
        <v>0.3</v>
      </c>
      <c r="I18" s="40" t="n">
        <f aca="false">Q10</f>
        <v>0.45</v>
      </c>
      <c r="J18" s="40" t="n">
        <f aca="false">Q11</f>
        <v>0.45</v>
      </c>
      <c r="K18" s="40" t="n">
        <f aca="false">Q12</f>
        <v>-0.05</v>
      </c>
      <c r="L18" s="40" t="n">
        <f aca="false">Q13</f>
        <v>0.4</v>
      </c>
      <c r="M18" s="40" t="n">
        <f aca="false">Q14</f>
        <v>0.4</v>
      </c>
      <c r="N18" s="40" t="n">
        <f aca="false">Q15</f>
        <v>0.95</v>
      </c>
      <c r="O18" s="40" t="n">
        <f aca="false">Q16</f>
        <v>0.95</v>
      </c>
      <c r="P18" s="40" t="n">
        <f aca="false">Q17</f>
        <v>0.95</v>
      </c>
      <c r="Q18" s="34" t="n">
        <v>1</v>
      </c>
      <c r="R18" s="35" t="n">
        <v>0.92</v>
      </c>
      <c r="S18" s="36" t="n">
        <v>0.45</v>
      </c>
    </row>
    <row r="19" customFormat="false" ht="15.75" hidden="false" customHeight="true" outlineLevel="0" collapsed="false">
      <c r="A19" s="33" t="s">
        <v>181</v>
      </c>
      <c r="B19" s="40" t="n">
        <f aca="false">R3</f>
        <v>0.35</v>
      </c>
      <c r="C19" s="40" t="n">
        <f aca="false">R4</f>
        <v>0.35</v>
      </c>
      <c r="D19" s="40" t="n">
        <f aca="false">R5</f>
        <v>0.35</v>
      </c>
      <c r="E19" s="40" t="n">
        <f aca="false">R6</f>
        <v>0.3</v>
      </c>
      <c r="F19" s="40" t="n">
        <f aca="false">R7</f>
        <v>0.35</v>
      </c>
      <c r="G19" s="40" t="n">
        <f aca="false">R8</f>
        <v>0.35</v>
      </c>
      <c r="H19" s="40" t="n">
        <f aca="false">R9</f>
        <v>0.3</v>
      </c>
      <c r="I19" s="40" t="n">
        <f aca="false">R10</f>
        <v>0.45</v>
      </c>
      <c r="J19" s="40" t="n">
        <f aca="false">R11</f>
        <v>0.45</v>
      </c>
      <c r="K19" s="40" t="n">
        <f aca="false">R12</f>
        <v>-0.05</v>
      </c>
      <c r="L19" s="40" t="n">
        <f aca="false">R13</f>
        <v>0.4</v>
      </c>
      <c r="M19" s="40" t="n">
        <f aca="false">R14</f>
        <v>0.4</v>
      </c>
      <c r="N19" s="40" t="n">
        <f aca="false">R15</f>
        <v>0.95</v>
      </c>
      <c r="O19" s="40" t="n">
        <f aca="false">R16</f>
        <v>0.91</v>
      </c>
      <c r="P19" s="40" t="n">
        <f aca="false">R17</f>
        <v>0.88</v>
      </c>
      <c r="Q19" s="40" t="n">
        <f aca="false">R18</f>
        <v>0.92</v>
      </c>
      <c r="R19" s="34" t="n">
        <v>1</v>
      </c>
      <c r="S19" s="36" t="n">
        <v>0.45</v>
      </c>
    </row>
    <row r="20" customFormat="false" ht="15.75" hidden="false" customHeight="true" outlineLevel="0" collapsed="false">
      <c r="A20" s="33" t="s">
        <v>60</v>
      </c>
      <c r="B20" s="40" t="n">
        <f aca="false">S3</f>
        <v>0.3</v>
      </c>
      <c r="C20" s="40" t="n">
        <f aca="false">S4</f>
        <v>0.3</v>
      </c>
      <c r="D20" s="40" t="n">
        <f aca="false">S5</f>
        <v>0.3</v>
      </c>
      <c r="E20" s="40" t="n">
        <f aca="false">S6</f>
        <v>0.25</v>
      </c>
      <c r="F20" s="40" t="n">
        <f aca="false">S7</f>
        <v>0.3</v>
      </c>
      <c r="G20" s="40" t="n">
        <f aca="false">S8</f>
        <v>0.3</v>
      </c>
      <c r="H20" s="40" t="n">
        <f aca="false">S9</f>
        <v>0.25</v>
      </c>
      <c r="I20" s="40" t="n">
        <f aca="false">S10</f>
        <v>0.4</v>
      </c>
      <c r="J20" s="40" t="n">
        <f aca="false">S11</f>
        <v>0.4</v>
      </c>
      <c r="K20" s="40" t="n">
        <f aca="false">S12</f>
        <v>0.15</v>
      </c>
      <c r="L20" s="40" t="n">
        <f aca="false">S13</f>
        <v>0.35</v>
      </c>
      <c r="M20" s="40" t="n">
        <f aca="false">S14</f>
        <v>0.35</v>
      </c>
      <c r="N20" s="40" t="n">
        <f aca="false">S15</f>
        <v>0.45</v>
      </c>
      <c r="O20" s="40" t="n">
        <f aca="false">S16</f>
        <v>0.45</v>
      </c>
      <c r="P20" s="40" t="n">
        <f aca="false">S17</f>
        <v>0.45</v>
      </c>
      <c r="Q20" s="40" t="n">
        <f aca="false">S18</f>
        <v>0.45</v>
      </c>
      <c r="R20" s="40" t="n">
        <f aca="false">S19</f>
        <v>0.45</v>
      </c>
      <c r="S20" s="34" t="n">
        <v>1</v>
      </c>
    </row>
    <row r="22" customFormat="false" ht="32.25" hidden="false" customHeight="true" outlineLevel="0" collapsed="false">
      <c r="A22" s="42" t="s">
        <v>186</v>
      </c>
      <c r="B22" s="42"/>
      <c r="C22" s="42"/>
      <c r="D22" s="42"/>
      <c r="E22" s="42"/>
      <c r="F22" s="42"/>
      <c r="G22" s="42"/>
      <c r="H22" s="43" t="s">
        <v>187</v>
      </c>
      <c r="I22" s="44" t="s">
        <v>188</v>
      </c>
      <c r="J22" s="45" t="s">
        <v>189</v>
      </c>
      <c r="K22" s="46" t="s">
        <v>190</v>
      </c>
      <c r="L22" s="47" t="s">
        <v>191</v>
      </c>
      <c r="M22" s="48" t="s">
        <v>192</v>
      </c>
    </row>
  </sheetData>
  <mergeCells count="2">
    <mergeCell ref="A1:S1"/>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 width="35"/>
    <col collapsed="false" customWidth="true" hidden="false" outlineLevel="0" max="2" min="2" style="11" width="22"/>
    <col collapsed="false" customWidth="true" hidden="false" outlineLevel="0" max="3" min="3" style="11" width="40"/>
  </cols>
  <sheetData>
    <row r="1" customFormat="false" ht="27.75" hidden="false" customHeight="true" outlineLevel="0" collapsed="false">
      <c r="A1" s="49" t="s">
        <v>193</v>
      </c>
      <c r="B1" s="49"/>
      <c r="C1" s="49"/>
    </row>
    <row r="2" customFormat="false" ht="18" hidden="false" customHeight="true" outlineLevel="0" collapsed="false">
      <c r="A2" s="50" t="s">
        <v>194</v>
      </c>
      <c r="B2" s="50"/>
      <c r="C2" s="50"/>
    </row>
    <row r="3" customFormat="false" ht="18" hidden="false" customHeight="true" outlineLevel="0" collapsed="false">
      <c r="A3" s="51" t="s">
        <v>195</v>
      </c>
      <c r="B3" s="52" t="n">
        <v>100</v>
      </c>
      <c r="C3" s="53" t="s">
        <v>196</v>
      </c>
    </row>
    <row r="4" customFormat="false" ht="18" hidden="false" customHeight="true" outlineLevel="0" collapsed="false">
      <c r="A4" s="54" t="s">
        <v>197</v>
      </c>
      <c r="B4" s="52" t="s">
        <v>198</v>
      </c>
      <c r="C4" s="53"/>
    </row>
    <row r="5" customFormat="false" ht="18" hidden="false" customHeight="true" outlineLevel="0" collapsed="false">
      <c r="A5" s="51" t="s">
        <v>199</v>
      </c>
      <c r="B5" s="52" t="n">
        <v>1</v>
      </c>
      <c r="C5" s="53" t="s">
        <v>200</v>
      </c>
    </row>
    <row r="6" customFormat="false" ht="18" hidden="false" customHeight="true" outlineLevel="0" collapsed="false"/>
    <row r="7" customFormat="false" ht="18" hidden="false" customHeight="true" outlineLevel="0" collapsed="false">
      <c r="A7" s="50" t="s">
        <v>201</v>
      </c>
      <c r="B7" s="50"/>
      <c r="C7" s="50"/>
    </row>
    <row r="8" customFormat="false" ht="18" hidden="false" customHeight="true" outlineLevel="0" collapsed="false">
      <c r="A8" s="54" t="s">
        <v>202</v>
      </c>
      <c r="B8" s="52" t="n">
        <v>5000</v>
      </c>
      <c r="C8" s="53" t="s">
        <v>203</v>
      </c>
    </row>
    <row r="9" customFormat="false" ht="18" hidden="false" customHeight="true" outlineLevel="0" collapsed="false">
      <c r="A9" s="51" t="s">
        <v>204</v>
      </c>
      <c r="B9" s="52" t="n">
        <v>10</v>
      </c>
      <c r="C9" s="53" t="s">
        <v>205</v>
      </c>
    </row>
    <row r="10" customFormat="false" ht="18" hidden="false" customHeight="true" outlineLevel="0" collapsed="false">
      <c r="A10" s="54" t="s">
        <v>206</v>
      </c>
      <c r="B10" s="52" t="n">
        <v>12</v>
      </c>
      <c r="C10" s="53" t="s">
        <v>207</v>
      </c>
    </row>
    <row r="11" customFormat="false" ht="18" hidden="false" customHeight="true" outlineLevel="0" collapsed="false">
      <c r="A11" s="51" t="s">
        <v>208</v>
      </c>
      <c r="B11" s="52" t="n">
        <v>42</v>
      </c>
      <c r="C11" s="53" t="s">
        <v>209</v>
      </c>
    </row>
    <row r="12" customFormat="false" ht="18" hidden="false" customHeight="true" outlineLevel="0" collapsed="false"/>
    <row r="13" customFormat="false" ht="18" hidden="false" customHeight="true" outlineLevel="0" collapsed="false">
      <c r="A13" s="50" t="s">
        <v>210</v>
      </c>
      <c r="B13" s="50"/>
      <c r="C13" s="50"/>
    </row>
    <row r="14" customFormat="false" ht="18" hidden="false" customHeight="true" outlineLevel="0" collapsed="false">
      <c r="A14" s="54" t="s">
        <v>211</v>
      </c>
      <c r="B14" s="52" t="s">
        <v>212</v>
      </c>
      <c r="C14" s="53" t="s">
        <v>213</v>
      </c>
    </row>
    <row r="15" customFormat="false" ht="18" hidden="false" customHeight="true" outlineLevel="0" collapsed="false">
      <c r="A15" s="51" t="s">
        <v>214</v>
      </c>
      <c r="B15" s="52" t="s">
        <v>215</v>
      </c>
      <c r="C15" s="53" t="s">
        <v>216</v>
      </c>
    </row>
    <row r="16" customFormat="false" ht="18" hidden="false" customHeight="true" outlineLevel="0" collapsed="false">
      <c r="A16" s="54" t="s">
        <v>217</v>
      </c>
      <c r="B16" s="52" t="s">
        <v>215</v>
      </c>
      <c r="C16" s="53" t="s">
        <v>218</v>
      </c>
    </row>
    <row r="17" customFormat="false" ht="18" hidden="false" customHeight="true" outlineLevel="0" collapsed="false">
      <c r="A17" s="51" t="s">
        <v>219</v>
      </c>
      <c r="B17" s="55" t="n">
        <v>0.055</v>
      </c>
      <c r="C17" s="53" t="s">
        <v>220</v>
      </c>
    </row>
    <row r="18" customFormat="false" ht="18" hidden="false" customHeight="true" outlineLevel="0" collapsed="false">
      <c r="A18" s="54" t="s">
        <v>221</v>
      </c>
      <c r="B18" s="52" t="s">
        <v>215</v>
      </c>
      <c r="C18" s="53" t="s">
        <v>222</v>
      </c>
    </row>
    <row r="19" customFormat="false" ht="18" hidden="false" customHeight="true" outlineLevel="0" collapsed="false"/>
    <row r="20" customFormat="false" ht="18" hidden="false" customHeight="true" outlineLevel="0" collapsed="false">
      <c r="A20" s="50" t="s">
        <v>223</v>
      </c>
      <c r="B20" s="50"/>
      <c r="C20" s="50"/>
    </row>
    <row r="21" customFormat="false" ht="18" hidden="false" customHeight="true" outlineLevel="0" collapsed="false">
      <c r="A21" s="51" t="s">
        <v>224</v>
      </c>
      <c r="B21" s="52" t="s">
        <v>215</v>
      </c>
      <c r="C21" s="53" t="s">
        <v>225</v>
      </c>
    </row>
    <row r="22" customFormat="false" ht="18" hidden="false" customHeight="true" outlineLevel="0" collapsed="false">
      <c r="A22" s="54" t="s">
        <v>226</v>
      </c>
      <c r="B22" s="52" t="s">
        <v>227</v>
      </c>
      <c r="C22" s="53" t="s">
        <v>228</v>
      </c>
    </row>
    <row r="23" customFormat="false" ht="18" hidden="false" customHeight="true" outlineLevel="0" collapsed="false">
      <c r="A23" s="51" t="s">
        <v>229</v>
      </c>
      <c r="B23" s="52" t="s">
        <v>215</v>
      </c>
      <c r="C23" s="53" t="s">
        <v>230</v>
      </c>
    </row>
    <row r="24" customFormat="false" ht="18" hidden="false" customHeight="true" outlineLevel="0" collapsed="false">
      <c r="A24" s="54" t="s">
        <v>231</v>
      </c>
      <c r="B24" s="56" t="n">
        <v>1.4</v>
      </c>
      <c r="C24" s="53" t="s">
        <v>232</v>
      </c>
    </row>
    <row r="25" customFormat="false" ht="18" hidden="false" customHeight="true" outlineLevel="0" collapsed="false"/>
    <row r="26" customFormat="false" ht="18" hidden="false" customHeight="true" outlineLevel="0" collapsed="false">
      <c r="A26" s="50" t="s">
        <v>233</v>
      </c>
      <c r="B26" s="50"/>
      <c r="C26" s="50"/>
    </row>
    <row r="27" customFormat="false" ht="18" hidden="false" customHeight="true" outlineLevel="0" collapsed="false">
      <c r="A27" s="51" t="s">
        <v>234</v>
      </c>
      <c r="B27" s="52" t="s">
        <v>235</v>
      </c>
      <c r="C27" s="53" t="s">
        <v>236</v>
      </c>
    </row>
    <row r="28" customFormat="false" ht="18" hidden="false" customHeight="true" outlineLevel="0" collapsed="false">
      <c r="A28" s="54" t="s">
        <v>237</v>
      </c>
      <c r="B28" s="55" t="n">
        <v>0.05</v>
      </c>
      <c r="C28" s="53" t="s">
        <v>238</v>
      </c>
    </row>
    <row r="29" customFormat="false" ht="18" hidden="false" customHeight="true" outlineLevel="0" collapsed="false">
      <c r="A29" s="51" t="s">
        <v>239</v>
      </c>
      <c r="B29" s="52" t="s">
        <v>240</v>
      </c>
      <c r="C29" s="53" t="s">
        <v>241</v>
      </c>
    </row>
    <row r="30" customFormat="false" ht="18" hidden="false" customHeight="true" outlineLevel="0" collapsed="false"/>
    <row r="31" customFormat="false" ht="18" hidden="false" customHeight="true" outlineLevel="0" collapsed="false">
      <c r="A31" s="50" t="s">
        <v>242</v>
      </c>
      <c r="B31" s="50"/>
      <c r="C31" s="50"/>
    </row>
    <row r="32" customFormat="false" ht="18" hidden="false" customHeight="true" outlineLevel="0" collapsed="false">
      <c r="A32" s="54" t="s">
        <v>243</v>
      </c>
      <c r="B32" s="52" t="s">
        <v>244</v>
      </c>
      <c r="C32" s="53"/>
    </row>
    <row r="33" customFormat="false" ht="18" hidden="false" customHeight="true" outlineLevel="0" collapsed="false">
      <c r="A33" s="51" t="s">
        <v>245</v>
      </c>
      <c r="B33" s="52" t="s">
        <v>246</v>
      </c>
      <c r="C33" s="53" t="s">
        <v>247</v>
      </c>
    </row>
    <row r="34" customFormat="false" ht="18" hidden="false" customHeight="true" outlineLevel="0" collapsed="false">
      <c r="A34" s="54" t="s">
        <v>248</v>
      </c>
      <c r="B34" s="52" t="s">
        <v>215</v>
      </c>
      <c r="C34" s="53"/>
    </row>
    <row r="35" customFormat="false" ht="18" hidden="false" customHeight="true" outlineLevel="0" collapsed="false">
      <c r="A35" s="51" t="s">
        <v>249</v>
      </c>
      <c r="B35" s="55" t="n">
        <v>0.05</v>
      </c>
      <c r="C35" s="53" t="s">
        <v>250</v>
      </c>
    </row>
    <row r="36" customFormat="false" ht="18" hidden="false" customHeight="true" outlineLevel="0" collapsed="false">
      <c r="A36" s="54" t="s">
        <v>251</v>
      </c>
      <c r="B36" s="52" t="s">
        <v>215</v>
      </c>
      <c r="C36" s="53" t="s">
        <v>252</v>
      </c>
    </row>
  </sheetData>
  <mergeCells count="7">
    <mergeCell ref="A1:C1"/>
    <mergeCell ref="A2:C2"/>
    <mergeCell ref="A7:C7"/>
    <mergeCell ref="A13:C13"/>
    <mergeCell ref="A20:C20"/>
    <mergeCell ref="A26:C26"/>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 width="28"/>
    <col collapsed="false" customWidth="true" hidden="false" outlineLevel="0" max="2" min="2" style="11" width="16"/>
    <col collapsed="false" customWidth="true" hidden="false" outlineLevel="0" max="6" min="3" style="11" width="14"/>
  </cols>
  <sheetData>
    <row r="1" customFormat="false" ht="27.75" hidden="false" customHeight="true" outlineLevel="0" collapsed="false">
      <c r="A1" s="49" t="s">
        <v>253</v>
      </c>
      <c r="B1" s="49"/>
      <c r="C1" s="49"/>
      <c r="D1" s="49"/>
      <c r="E1" s="49"/>
      <c r="F1" s="49"/>
    </row>
    <row r="2" customFormat="false" ht="36" hidden="false" customHeight="true" outlineLevel="0" collapsed="false">
      <c r="A2" s="14" t="s">
        <v>116</v>
      </c>
      <c r="B2" s="14" t="s">
        <v>117</v>
      </c>
      <c r="C2" s="14" t="s">
        <v>254</v>
      </c>
      <c r="D2" s="14" t="s">
        <v>255</v>
      </c>
      <c r="E2" s="14" t="s">
        <v>256</v>
      </c>
      <c r="F2" s="14" t="s">
        <v>257</v>
      </c>
    </row>
    <row r="3" customFormat="false" ht="15.75" hidden="false" customHeight="true" outlineLevel="0" collapsed="false">
      <c r="A3" s="15" t="s">
        <v>134</v>
      </c>
      <c r="B3" s="23" t="s">
        <v>135</v>
      </c>
      <c r="C3" s="17" t="n">
        <v>0.3</v>
      </c>
      <c r="D3" s="17" t="n">
        <v>0.2</v>
      </c>
      <c r="E3" s="18" t="n">
        <v>0.19</v>
      </c>
      <c r="F3" s="18" t="n">
        <v>0.18</v>
      </c>
    </row>
    <row r="4" customFormat="false" ht="15.75" hidden="false" customHeight="true" outlineLevel="0" collapsed="false">
      <c r="A4" s="15" t="s">
        <v>139</v>
      </c>
      <c r="B4" s="16" t="s">
        <v>135</v>
      </c>
      <c r="C4" s="17" t="n">
        <v>0</v>
      </c>
      <c r="D4" s="17" t="n">
        <v>0</v>
      </c>
      <c r="E4" s="17" t="n">
        <v>0.025</v>
      </c>
      <c r="F4" s="17" t="n">
        <v>0.025</v>
      </c>
    </row>
    <row r="5" customFormat="false" ht="15.75" hidden="false" customHeight="true" outlineLevel="0" collapsed="false">
      <c r="A5" s="15" t="s">
        <v>141</v>
      </c>
      <c r="B5" s="23" t="s">
        <v>135</v>
      </c>
      <c r="C5" s="17" t="n">
        <v>0.1</v>
      </c>
      <c r="D5" s="17" t="n">
        <v>0.2</v>
      </c>
      <c r="E5" s="17" t="n">
        <v>0.15</v>
      </c>
      <c r="F5" s="17" t="n">
        <v>0.25</v>
      </c>
    </row>
    <row r="6" customFormat="false" ht="15.75" hidden="false" customHeight="true" outlineLevel="0" collapsed="false">
      <c r="A6" s="15" t="s">
        <v>144</v>
      </c>
      <c r="B6" s="16" t="s">
        <v>145</v>
      </c>
      <c r="C6" s="17" t="n">
        <v>0.1</v>
      </c>
      <c r="D6" s="17" t="n">
        <v>0</v>
      </c>
      <c r="E6" s="17" t="n">
        <v>0.05</v>
      </c>
      <c r="F6" s="17" t="n">
        <v>0</v>
      </c>
    </row>
    <row r="7" customFormat="false" ht="15.75" hidden="false" customHeight="true" outlineLevel="0" collapsed="false">
      <c r="A7" s="15" t="s">
        <v>150</v>
      </c>
      <c r="B7" s="23" t="s">
        <v>135</v>
      </c>
      <c r="C7" s="17" t="n">
        <v>0</v>
      </c>
      <c r="D7" s="17" t="n">
        <v>0</v>
      </c>
      <c r="E7" s="17" t="n">
        <v>0.1</v>
      </c>
      <c r="F7" s="17" t="n">
        <v>0.1</v>
      </c>
    </row>
    <row r="8" customFormat="false" ht="15.75" hidden="false" customHeight="true" outlineLevel="0" collapsed="false">
      <c r="A8" s="15" t="s">
        <v>155</v>
      </c>
      <c r="B8" s="16" t="s">
        <v>156</v>
      </c>
      <c r="C8" s="17" t="n">
        <v>0</v>
      </c>
      <c r="D8" s="17" t="n">
        <v>0</v>
      </c>
      <c r="E8" s="17" t="n">
        <v>0.01</v>
      </c>
      <c r="F8" s="17" t="n">
        <v>0.01</v>
      </c>
    </row>
    <row r="9" customFormat="false" ht="15.75" hidden="false" customHeight="true" outlineLevel="0" collapsed="false">
      <c r="A9" s="15" t="s">
        <v>160</v>
      </c>
      <c r="B9" s="23" t="s">
        <v>156</v>
      </c>
      <c r="C9" s="17" t="n">
        <v>0</v>
      </c>
      <c r="D9" s="17" t="n">
        <v>0</v>
      </c>
      <c r="E9" s="17" t="n">
        <v>0.01</v>
      </c>
      <c r="F9" s="17" t="n">
        <v>0.01</v>
      </c>
    </row>
    <row r="10" customFormat="false" ht="15.75" hidden="false" customHeight="true" outlineLevel="0" collapsed="false">
      <c r="A10" s="15" t="s">
        <v>162</v>
      </c>
      <c r="B10" s="16" t="s">
        <v>163</v>
      </c>
      <c r="C10" s="17" t="n">
        <v>0.1</v>
      </c>
      <c r="D10" s="17" t="n">
        <v>0.05</v>
      </c>
      <c r="E10" s="17" t="n">
        <v>0.05</v>
      </c>
      <c r="F10" s="17" t="n">
        <v>0</v>
      </c>
    </row>
    <row r="11" customFormat="false" ht="15.75" hidden="false" customHeight="true" outlineLevel="0" collapsed="false">
      <c r="A11" s="15" t="s">
        <v>165</v>
      </c>
      <c r="B11" s="23" t="s">
        <v>166</v>
      </c>
      <c r="C11" s="17" t="n">
        <v>0.2</v>
      </c>
      <c r="D11" s="17" t="n">
        <v>0.15</v>
      </c>
      <c r="E11" s="17" t="n">
        <v>0.1</v>
      </c>
      <c r="F11" s="17" t="n">
        <v>0.125</v>
      </c>
    </row>
    <row r="12" customFormat="false" ht="15.75" hidden="false" customHeight="true" outlineLevel="0" collapsed="false">
      <c r="A12" s="15" t="s">
        <v>169</v>
      </c>
      <c r="B12" s="16" t="s">
        <v>166</v>
      </c>
      <c r="C12" s="17" t="n">
        <v>0.2</v>
      </c>
      <c r="D12" s="17" t="n">
        <v>0.1</v>
      </c>
      <c r="E12" s="17" t="n">
        <v>0.05</v>
      </c>
      <c r="F12" s="17" t="n">
        <v>0.05</v>
      </c>
    </row>
    <row r="13" customFormat="false" ht="15.75" hidden="false" customHeight="true" outlineLevel="0" collapsed="false">
      <c r="A13" s="15" t="s">
        <v>172</v>
      </c>
      <c r="B13" s="23" t="s">
        <v>173</v>
      </c>
      <c r="C13" s="17" t="n">
        <v>0</v>
      </c>
      <c r="D13" s="17" t="n">
        <v>0.05</v>
      </c>
      <c r="E13" s="17" t="n">
        <v>0.02</v>
      </c>
      <c r="F13" s="17" t="n">
        <v>0.02</v>
      </c>
    </row>
    <row r="14" customFormat="false" ht="15.75" hidden="false" customHeight="true" outlineLevel="0" collapsed="false">
      <c r="A14" s="15" t="s">
        <v>175</v>
      </c>
      <c r="B14" s="16" t="s">
        <v>173</v>
      </c>
      <c r="C14" s="17" t="n">
        <v>0</v>
      </c>
      <c r="D14" s="17" t="n">
        <v>0.1</v>
      </c>
      <c r="E14" s="17" t="n">
        <v>0.04</v>
      </c>
      <c r="F14" s="17" t="n">
        <v>0.05</v>
      </c>
    </row>
    <row r="15" customFormat="false" ht="15.75" hidden="false" customHeight="true" outlineLevel="0" collapsed="false">
      <c r="A15" s="15" t="s">
        <v>177</v>
      </c>
      <c r="B15" s="23" t="s">
        <v>173</v>
      </c>
      <c r="C15" s="17" t="n">
        <v>0</v>
      </c>
      <c r="D15" s="17" t="n">
        <v>0</v>
      </c>
      <c r="E15" s="17" t="n">
        <v>0.04</v>
      </c>
      <c r="F15" s="17" t="n">
        <v>0.05</v>
      </c>
    </row>
    <row r="16" customFormat="false" ht="15.75" hidden="false" customHeight="true" outlineLevel="0" collapsed="false">
      <c r="A16" s="15" t="s">
        <v>181</v>
      </c>
      <c r="B16" s="16" t="s">
        <v>173</v>
      </c>
      <c r="C16" s="17" t="n">
        <v>0</v>
      </c>
      <c r="D16" s="17" t="n">
        <v>0.05</v>
      </c>
      <c r="E16" s="17" t="n">
        <v>0.04</v>
      </c>
      <c r="F16" s="17" t="n">
        <v>0.05</v>
      </c>
    </row>
    <row r="17" customFormat="false" ht="15.75" hidden="false" customHeight="true" outlineLevel="0" collapsed="false">
      <c r="A17" s="15" t="s">
        <v>179</v>
      </c>
      <c r="B17" s="23" t="s">
        <v>173</v>
      </c>
      <c r="C17" s="17" t="n">
        <v>0</v>
      </c>
      <c r="D17" s="17" t="n">
        <v>0</v>
      </c>
      <c r="E17" s="17" t="n">
        <v>0.025</v>
      </c>
      <c r="F17" s="17" t="n">
        <v>0.03</v>
      </c>
    </row>
    <row r="18" customFormat="false" ht="15.75" hidden="false" customHeight="true" outlineLevel="0" collapsed="false">
      <c r="A18" s="15" t="s">
        <v>60</v>
      </c>
      <c r="B18" s="16" t="s">
        <v>183</v>
      </c>
      <c r="C18" s="17" t="n">
        <v>0</v>
      </c>
      <c r="D18" s="17" t="n">
        <v>0.1</v>
      </c>
      <c r="E18" s="17" t="n">
        <v>0.1</v>
      </c>
      <c r="F18" s="17" t="n">
        <v>0.05</v>
      </c>
    </row>
    <row r="19" customFormat="false" ht="18" hidden="false" customHeight="true" outlineLevel="0" collapsed="false">
      <c r="A19" s="57" t="s">
        <v>258</v>
      </c>
      <c r="C19" s="58" t="n">
        <f aca="false">SUM(C3:C18)</f>
        <v>1</v>
      </c>
      <c r="D19" s="58" t="n">
        <f aca="false">SUM(D3:D18)</f>
        <v>1</v>
      </c>
      <c r="E19" s="58" t="n">
        <f aca="false">SUM(E3:E18)</f>
        <v>1</v>
      </c>
      <c r="F19" s="58" t="n">
        <f aca="false">SUM(F3:F18)</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1" width="4"/>
    <col collapsed="false" customWidth="true" hidden="false" outlineLevel="0" max="2" min="2" style="11" width="30"/>
    <col collapsed="false" customWidth="true" hidden="false" outlineLevel="0" max="3" min="3" style="11" width="22"/>
    <col collapsed="false" customWidth="true" hidden="false" outlineLevel="0" max="5" min="4" style="11" width="15"/>
    <col collapsed="false" customWidth="true" hidden="false" outlineLevel="0" max="6" min="6" style="11" width="13"/>
    <col collapsed="false" customWidth="true" hidden="false" outlineLevel="0" max="7" min="7" style="11" width="70"/>
  </cols>
  <sheetData>
    <row r="1" customFormat="false" ht="30" hidden="false" customHeight="true" outlineLevel="0" collapsed="false">
      <c r="A1" s="49" t="s">
        <v>259</v>
      </c>
      <c r="B1" s="49"/>
      <c r="C1" s="49"/>
      <c r="D1" s="49"/>
      <c r="E1" s="49"/>
      <c r="F1" s="49"/>
      <c r="G1" s="49"/>
    </row>
    <row r="2" customFormat="false" ht="21.75" hidden="false" customHeight="true" outlineLevel="0" collapsed="false">
      <c r="A2" s="14" t="s">
        <v>260</v>
      </c>
      <c r="B2" s="14" t="s">
        <v>261</v>
      </c>
      <c r="C2" s="14" t="s">
        <v>262</v>
      </c>
      <c r="D2" s="14" t="s">
        <v>263</v>
      </c>
      <c r="E2" s="14" t="s">
        <v>264</v>
      </c>
      <c r="F2" s="14" t="s">
        <v>265</v>
      </c>
      <c r="G2" s="14" t="s">
        <v>266</v>
      </c>
    </row>
    <row r="3" customFormat="false" ht="33.75" hidden="false" customHeight="true" outlineLevel="0" collapsed="false">
      <c r="A3" s="59" t="s">
        <v>267</v>
      </c>
      <c r="B3" s="47" t="s">
        <v>141</v>
      </c>
      <c r="C3" s="47" t="s">
        <v>268</v>
      </c>
      <c r="D3" s="60" t="s">
        <v>269</v>
      </c>
      <c r="E3" s="61" t="s">
        <v>270</v>
      </c>
      <c r="F3" s="62" t="s">
        <v>271</v>
      </c>
      <c r="G3" s="63" t="s">
        <v>272</v>
      </c>
    </row>
    <row r="4" customFormat="false" ht="33.75" hidden="false" customHeight="true" outlineLevel="0" collapsed="false">
      <c r="A4" s="64" t="s">
        <v>273</v>
      </c>
      <c r="B4" s="65" t="s">
        <v>177</v>
      </c>
      <c r="C4" s="65" t="s">
        <v>268</v>
      </c>
      <c r="D4" s="60" t="s">
        <v>270</v>
      </c>
      <c r="E4" s="61" t="s">
        <v>269</v>
      </c>
      <c r="F4" s="62" t="s">
        <v>271</v>
      </c>
      <c r="G4" s="66" t="s">
        <v>274</v>
      </c>
    </row>
    <row r="5" customFormat="false" ht="33.75" hidden="false" customHeight="true" outlineLevel="0" collapsed="false">
      <c r="A5" s="59" t="s">
        <v>275</v>
      </c>
      <c r="B5" s="47" t="s">
        <v>162</v>
      </c>
      <c r="C5" s="47" t="s">
        <v>268</v>
      </c>
      <c r="D5" s="60" t="s">
        <v>276</v>
      </c>
      <c r="E5" s="61" t="s">
        <v>277</v>
      </c>
      <c r="F5" s="62" t="s">
        <v>271</v>
      </c>
      <c r="G5" s="63" t="s">
        <v>278</v>
      </c>
    </row>
    <row r="6" customFormat="false" ht="33.75" hidden="false" customHeight="true" outlineLevel="0" collapsed="false">
      <c r="A6" s="64" t="s">
        <v>279</v>
      </c>
      <c r="B6" s="65" t="s">
        <v>280</v>
      </c>
      <c r="C6" s="65" t="s">
        <v>281</v>
      </c>
      <c r="D6" s="60" t="s">
        <v>282</v>
      </c>
      <c r="E6" s="61" t="s">
        <v>283</v>
      </c>
      <c r="F6" s="67" t="s">
        <v>284</v>
      </c>
      <c r="G6" s="66" t="s">
        <v>285</v>
      </c>
    </row>
    <row r="7" customFormat="false" ht="33.75" hidden="false" customHeight="true" outlineLevel="0" collapsed="false">
      <c r="A7" s="59" t="s">
        <v>286</v>
      </c>
      <c r="B7" s="47" t="s">
        <v>287</v>
      </c>
      <c r="C7" s="47" t="s">
        <v>288</v>
      </c>
      <c r="D7" s="60" t="s">
        <v>289</v>
      </c>
      <c r="E7" s="61" t="s">
        <v>290</v>
      </c>
      <c r="F7" s="67" t="s">
        <v>284</v>
      </c>
      <c r="G7" s="63" t="s">
        <v>291</v>
      </c>
    </row>
    <row r="8" customFormat="false" ht="33.75" hidden="false" customHeight="true" outlineLevel="0" collapsed="false">
      <c r="A8" s="64" t="s">
        <v>292</v>
      </c>
      <c r="B8" s="65" t="s">
        <v>175</v>
      </c>
      <c r="C8" s="65" t="s">
        <v>293</v>
      </c>
      <c r="D8" s="60" t="s">
        <v>294</v>
      </c>
      <c r="E8" s="61" t="s">
        <v>295</v>
      </c>
      <c r="F8" s="68" t="s">
        <v>296</v>
      </c>
      <c r="G8" s="66" t="s">
        <v>297</v>
      </c>
    </row>
    <row r="9" customFormat="false" ht="33.75" hidden="false" customHeight="true" outlineLevel="0" collapsed="false">
      <c r="A9" s="59" t="s">
        <v>298</v>
      </c>
      <c r="B9" s="47" t="s">
        <v>155</v>
      </c>
      <c r="C9" s="47" t="s">
        <v>299</v>
      </c>
      <c r="D9" s="60" t="s">
        <v>300</v>
      </c>
      <c r="E9" s="61" t="s">
        <v>301</v>
      </c>
      <c r="F9" s="68" t="s">
        <v>296</v>
      </c>
      <c r="G9" s="63" t="s">
        <v>302</v>
      </c>
    </row>
    <row r="10" customFormat="false" ht="33.75" hidden="false" customHeight="true" outlineLevel="0" collapsed="false">
      <c r="A10" s="64" t="s">
        <v>303</v>
      </c>
      <c r="B10" s="65" t="s">
        <v>160</v>
      </c>
      <c r="C10" s="65" t="s">
        <v>299</v>
      </c>
      <c r="D10" s="60" t="s">
        <v>304</v>
      </c>
      <c r="E10" s="61" t="s">
        <v>305</v>
      </c>
      <c r="F10" s="68" t="s">
        <v>296</v>
      </c>
      <c r="G10" s="66" t="s">
        <v>306</v>
      </c>
    </row>
    <row r="11" customFormat="false" ht="33.75" hidden="false" customHeight="true" outlineLevel="0" collapsed="false">
      <c r="A11" s="59" t="s">
        <v>307</v>
      </c>
      <c r="B11" s="47" t="s">
        <v>150</v>
      </c>
      <c r="C11" s="47" t="s">
        <v>299</v>
      </c>
      <c r="D11" s="60" t="s">
        <v>308</v>
      </c>
      <c r="E11" s="61" t="s">
        <v>309</v>
      </c>
      <c r="F11" s="68" t="s">
        <v>296</v>
      </c>
      <c r="G11" s="63" t="s">
        <v>310</v>
      </c>
    </row>
    <row r="12" customFormat="false" ht="33.75" hidden="false" customHeight="true" outlineLevel="0" collapsed="false">
      <c r="A12" s="64" t="s">
        <v>311</v>
      </c>
      <c r="B12" s="65" t="s">
        <v>179</v>
      </c>
      <c r="C12" s="65" t="s">
        <v>299</v>
      </c>
      <c r="D12" s="60" t="s">
        <v>304</v>
      </c>
      <c r="E12" s="61" t="s">
        <v>312</v>
      </c>
      <c r="F12" s="68" t="s">
        <v>296</v>
      </c>
      <c r="G12" s="66" t="s">
        <v>313</v>
      </c>
    </row>
    <row r="13" customFormat="false" ht="33.75" hidden="false" customHeight="true" outlineLevel="0" collapsed="false">
      <c r="A13" s="59" t="s">
        <v>314</v>
      </c>
      <c r="B13" s="47" t="s">
        <v>141</v>
      </c>
      <c r="C13" s="47" t="s">
        <v>299</v>
      </c>
      <c r="D13" s="60" t="s">
        <v>308</v>
      </c>
      <c r="E13" s="61" t="s">
        <v>315</v>
      </c>
      <c r="F13" s="62" t="s">
        <v>271</v>
      </c>
      <c r="G13" s="63" t="s">
        <v>316</v>
      </c>
    </row>
    <row r="14" customFormat="false" ht="33.75" hidden="false" customHeight="true" outlineLevel="0" collapsed="false">
      <c r="A14" s="64" t="s">
        <v>317</v>
      </c>
      <c r="B14" s="65" t="s">
        <v>148</v>
      </c>
      <c r="C14" s="65" t="s">
        <v>299</v>
      </c>
      <c r="D14" s="60" t="s">
        <v>318</v>
      </c>
      <c r="E14" s="61" t="s">
        <v>315</v>
      </c>
      <c r="F14" s="62" t="s">
        <v>271</v>
      </c>
      <c r="G14" s="66" t="s">
        <v>319</v>
      </c>
    </row>
    <row r="15" customFormat="false" ht="33.75" hidden="false" customHeight="true" outlineLevel="0" collapsed="false">
      <c r="A15" s="59" t="s">
        <v>320</v>
      </c>
      <c r="B15" s="47" t="s">
        <v>172</v>
      </c>
      <c r="C15" s="47" t="s">
        <v>299</v>
      </c>
      <c r="D15" s="60" t="s">
        <v>321</v>
      </c>
      <c r="E15" s="61" t="s">
        <v>322</v>
      </c>
      <c r="F15" s="62" t="s">
        <v>271</v>
      </c>
      <c r="G15" s="63" t="s">
        <v>323</v>
      </c>
    </row>
    <row r="16" customFormat="false" ht="33.75" hidden="false" customHeight="true" outlineLevel="0" collapsed="false">
      <c r="A16" s="64" t="s">
        <v>324</v>
      </c>
      <c r="B16" s="65" t="s">
        <v>177</v>
      </c>
      <c r="C16" s="65" t="s">
        <v>299</v>
      </c>
      <c r="D16" s="60" t="s">
        <v>325</v>
      </c>
      <c r="E16" s="61" t="s">
        <v>326</v>
      </c>
      <c r="F16" s="62" t="s">
        <v>271</v>
      </c>
      <c r="G16" s="66" t="s">
        <v>327</v>
      </c>
    </row>
    <row r="17" customFormat="false" ht="33.75" hidden="false" customHeight="true" outlineLevel="0" collapsed="false">
      <c r="A17" s="59" t="s">
        <v>328</v>
      </c>
      <c r="B17" s="47" t="s">
        <v>162</v>
      </c>
      <c r="C17" s="47" t="s">
        <v>299</v>
      </c>
      <c r="D17" s="60" t="s">
        <v>329</v>
      </c>
      <c r="E17" s="61" t="s">
        <v>330</v>
      </c>
      <c r="F17" s="62" t="s">
        <v>271</v>
      </c>
      <c r="G17" s="63" t="s">
        <v>331</v>
      </c>
    </row>
    <row r="18" customFormat="false" ht="33.75" hidden="false" customHeight="true" outlineLevel="0" collapsed="false">
      <c r="A18" s="64" t="s">
        <v>332</v>
      </c>
      <c r="B18" s="65" t="s">
        <v>165</v>
      </c>
      <c r="C18" s="65" t="s">
        <v>299</v>
      </c>
      <c r="D18" s="60" t="s">
        <v>333</v>
      </c>
      <c r="E18" s="61" t="s">
        <v>334</v>
      </c>
      <c r="F18" s="62" t="s">
        <v>271</v>
      </c>
      <c r="G18" s="66" t="s">
        <v>335</v>
      </c>
    </row>
    <row r="19" customFormat="false" ht="33.75" hidden="false" customHeight="true" outlineLevel="0" collapsed="false">
      <c r="A19" s="59" t="s">
        <v>336</v>
      </c>
      <c r="B19" s="47" t="s">
        <v>169</v>
      </c>
      <c r="C19" s="47" t="s">
        <v>299</v>
      </c>
      <c r="D19" s="60" t="s">
        <v>337</v>
      </c>
      <c r="E19" s="61" t="s">
        <v>338</v>
      </c>
      <c r="F19" s="62" t="s">
        <v>271</v>
      </c>
      <c r="G19" s="63" t="s">
        <v>339</v>
      </c>
    </row>
    <row r="20" customFormat="false" ht="33.75" hidden="false" customHeight="true" outlineLevel="0" collapsed="false">
      <c r="A20" s="64" t="s">
        <v>340</v>
      </c>
      <c r="B20" s="65" t="s">
        <v>60</v>
      </c>
      <c r="C20" s="65" t="s">
        <v>299</v>
      </c>
      <c r="D20" s="60" t="s">
        <v>341</v>
      </c>
      <c r="E20" s="61" t="s">
        <v>342</v>
      </c>
      <c r="F20" s="62" t="s">
        <v>271</v>
      </c>
      <c r="G20" s="66" t="s">
        <v>343</v>
      </c>
    </row>
    <row r="21" customFormat="false" ht="33.75" hidden="false" customHeight="true" outlineLevel="0" collapsed="false">
      <c r="A21" s="59" t="s">
        <v>344</v>
      </c>
      <c r="B21" s="47" t="s">
        <v>181</v>
      </c>
      <c r="C21" s="47" t="s">
        <v>299</v>
      </c>
      <c r="D21" s="60" t="s">
        <v>345</v>
      </c>
      <c r="E21" s="61" t="s">
        <v>346</v>
      </c>
      <c r="F21" s="69" t="s">
        <v>347</v>
      </c>
      <c r="G21" s="63" t="s">
        <v>348</v>
      </c>
    </row>
    <row r="22" customFormat="false" ht="33.75" hidden="false" customHeight="true" outlineLevel="0" collapsed="false">
      <c r="A22" s="64" t="s">
        <v>349</v>
      </c>
      <c r="B22" s="65" t="s">
        <v>350</v>
      </c>
      <c r="C22" s="65" t="s">
        <v>351</v>
      </c>
      <c r="D22" s="60" t="s">
        <v>352</v>
      </c>
      <c r="E22" s="61" t="s">
        <v>353</v>
      </c>
      <c r="F22" s="62" t="s">
        <v>271</v>
      </c>
      <c r="G22" s="66" t="s">
        <v>354</v>
      </c>
    </row>
    <row r="23" customFormat="false" ht="33.75" hidden="false" customHeight="true" outlineLevel="0" collapsed="false">
      <c r="A23" s="59" t="s">
        <v>355</v>
      </c>
      <c r="B23" s="47" t="s">
        <v>356</v>
      </c>
      <c r="C23" s="47" t="s">
        <v>351</v>
      </c>
      <c r="D23" s="60" t="s">
        <v>357</v>
      </c>
      <c r="E23" s="61" t="s">
        <v>358</v>
      </c>
      <c r="F23" s="62" t="s">
        <v>271</v>
      </c>
      <c r="G23" s="63" t="s">
        <v>359</v>
      </c>
    </row>
    <row r="24" customFormat="false" ht="33.75" hidden="false" customHeight="true" outlineLevel="0" collapsed="false">
      <c r="A24" s="64" t="s">
        <v>360</v>
      </c>
      <c r="B24" s="65" t="s">
        <v>361</v>
      </c>
      <c r="C24" s="65" t="s">
        <v>362</v>
      </c>
      <c r="D24" s="60" t="s">
        <v>363</v>
      </c>
      <c r="E24" s="61" t="s">
        <v>364</v>
      </c>
      <c r="F24" s="70" t="s">
        <v>365</v>
      </c>
      <c r="G24" s="66" t="s">
        <v>366</v>
      </c>
    </row>
    <row r="25" customFormat="false" ht="33.75" hidden="false" customHeight="true" outlineLevel="0" collapsed="false">
      <c r="A25" s="59" t="s">
        <v>367</v>
      </c>
      <c r="B25" s="47" t="s">
        <v>368</v>
      </c>
      <c r="C25" s="47" t="s">
        <v>369</v>
      </c>
      <c r="D25" s="60" t="s">
        <v>370</v>
      </c>
      <c r="E25" s="61" t="s">
        <v>371</v>
      </c>
      <c r="F25" s="70" t="s">
        <v>365</v>
      </c>
      <c r="G25" s="63" t="s">
        <v>372</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2026-05-31T04:03:31Z</dcterms:created>
  <dc:creator>openpyxl</dc:creator>
  <dc:description/>
  <dc:language>en-US</dc:language>
  <cp:lastModifiedBy/>
  <dcterms:modified xsi:type="dcterms:W3CDTF">2026-05-31T04:38:25Z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